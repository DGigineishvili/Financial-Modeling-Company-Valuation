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9555\Desktop\McDONALD's\"/>
    </mc:Choice>
  </mc:AlternateContent>
  <xr:revisionPtr revIDLastSave="0" documentId="13_ncr:1_{FBDA7FDF-F172-4BA7-9145-62F2261E0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" sheetId="5" r:id="rId1"/>
    <sheet name="P&amp;L" sheetId="6" r:id="rId2"/>
    <sheet name="Balance Sheet" sheetId="1" r:id="rId3"/>
    <sheet name="CFS" sheetId="7" r:id="rId4"/>
    <sheet name="Capex" sheetId="4" r:id="rId5"/>
    <sheet name="Debt" sheetId="8" r:id="rId6"/>
    <sheet name="Cost of Debt" sheetId="3" r:id="rId7"/>
    <sheet name="Cost of Equity" sheetId="2" r:id="rId8"/>
    <sheet name="Beta &amp; Scatter" sheetId="11" r:id="rId9"/>
    <sheet name="Valuation" sheetId="9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B24" i="9" l="1"/>
  <c r="B22" i="9"/>
  <c r="B20" i="9"/>
  <c r="B21" i="9"/>
  <c r="D3" i="9"/>
  <c r="E3" i="9" s="1"/>
  <c r="F3" i="9" s="1"/>
  <c r="G3" i="9" s="1"/>
  <c r="D37" i="7"/>
  <c r="E37" i="7"/>
  <c r="F37" i="7"/>
  <c r="G37" i="7"/>
  <c r="C37" i="7"/>
  <c r="D35" i="7"/>
  <c r="E35" i="7"/>
  <c r="F35" i="7"/>
  <c r="G35" i="7"/>
  <c r="C35" i="7"/>
  <c r="G36" i="7"/>
  <c r="F36" i="7"/>
  <c r="E36" i="7"/>
  <c r="D36" i="7"/>
  <c r="C36" i="7"/>
  <c r="D34" i="7"/>
  <c r="E34" i="7"/>
  <c r="F34" i="7"/>
  <c r="G34" i="7"/>
  <c r="C34" i="7"/>
  <c r="D32" i="7"/>
  <c r="E32" i="7"/>
  <c r="F32" i="7"/>
  <c r="G32" i="7"/>
  <c r="C32" i="7"/>
  <c r="D20" i="7"/>
  <c r="E20" i="7"/>
  <c r="F20" i="7"/>
  <c r="G20" i="7"/>
  <c r="C20" i="7"/>
  <c r="D17" i="7"/>
  <c r="E17" i="7"/>
  <c r="F17" i="7"/>
  <c r="G17" i="7"/>
  <c r="C17" i="7"/>
  <c r="C42" i="1"/>
  <c r="D26" i="7" l="1"/>
  <c r="E26" i="7"/>
  <c r="F26" i="7"/>
  <c r="G26" i="7"/>
  <c r="C26" i="7"/>
  <c r="H11" i="1"/>
  <c r="I11" i="1"/>
  <c r="J11" i="1" s="1"/>
  <c r="K11" i="1" s="1"/>
  <c r="G11" i="1"/>
  <c r="D25" i="7"/>
  <c r="E25" i="7"/>
  <c r="F25" i="7"/>
  <c r="G25" i="7"/>
  <c r="C25" i="7"/>
  <c r="C5" i="8"/>
  <c r="G29" i="6" l="1"/>
  <c r="H29" i="6" s="1"/>
  <c r="I29" i="6" s="1"/>
  <c r="J29" i="6" s="1"/>
  <c r="H40" i="1"/>
  <c r="I40" i="1" s="1"/>
  <c r="J40" i="1" s="1"/>
  <c r="K40" i="1" s="1"/>
  <c r="G40" i="1"/>
  <c r="C43" i="7"/>
  <c r="H38" i="1" l="1"/>
  <c r="I38" i="1"/>
  <c r="J38" i="1" s="1"/>
  <c r="G38" i="1"/>
  <c r="H41" i="1"/>
  <c r="I41" i="1" s="1"/>
  <c r="J41" i="1" s="1"/>
  <c r="K41" i="1" s="1"/>
  <c r="G41" i="1"/>
  <c r="H37" i="1"/>
  <c r="I37" i="1"/>
  <c r="J37" i="1" s="1"/>
  <c r="K37" i="1" s="1"/>
  <c r="G37" i="1"/>
  <c r="H34" i="1"/>
  <c r="I34" i="1"/>
  <c r="J34" i="1"/>
  <c r="K34" i="1"/>
  <c r="G34" i="1"/>
  <c r="H33" i="1"/>
  <c r="D19" i="7" s="1"/>
  <c r="I33" i="1"/>
  <c r="E19" i="7" s="1"/>
  <c r="J33" i="1"/>
  <c r="F19" i="7" s="1"/>
  <c r="G33" i="1"/>
  <c r="C19" i="7" s="1"/>
  <c r="G32" i="1"/>
  <c r="C18" i="7" s="1"/>
  <c r="H31" i="1"/>
  <c r="I31" i="1"/>
  <c r="J31" i="1" s="1"/>
  <c r="K31" i="1" s="1"/>
  <c r="G31" i="1"/>
  <c r="G30" i="1"/>
  <c r="C33" i="7" s="1"/>
  <c r="E10" i="8"/>
  <c r="F10" i="8"/>
  <c r="G10" i="8"/>
  <c r="D10" i="8"/>
  <c r="G21" i="1"/>
  <c r="H21" i="1" s="1"/>
  <c r="I21" i="1" s="1"/>
  <c r="J21" i="1" s="1"/>
  <c r="K21" i="1" s="1"/>
  <c r="D75" i="1"/>
  <c r="D76" i="1" s="1"/>
  <c r="E75" i="1"/>
  <c r="E76" i="1" s="1"/>
  <c r="F75" i="1"/>
  <c r="C75" i="1"/>
  <c r="C76" i="1" s="1"/>
  <c r="G13" i="1"/>
  <c r="H13" i="1" s="1"/>
  <c r="I13" i="1" s="1"/>
  <c r="J13" i="1" s="1"/>
  <c r="K13" i="1" s="1"/>
  <c r="G12" i="1"/>
  <c r="H12" i="1" s="1"/>
  <c r="I12" i="1" s="1"/>
  <c r="J12" i="1" s="1"/>
  <c r="K12" i="1" s="1"/>
  <c r="H12" i="4"/>
  <c r="I12" i="4"/>
  <c r="J12" i="4"/>
  <c r="K12" i="4"/>
  <c r="G12" i="4"/>
  <c r="I14" i="4"/>
  <c r="J14" i="4"/>
  <c r="K14" i="4"/>
  <c r="H14" i="4"/>
  <c r="G14" i="4"/>
  <c r="G4" i="4"/>
  <c r="D15" i="4"/>
  <c r="E15" i="4"/>
  <c r="C15" i="4"/>
  <c r="E14" i="6"/>
  <c r="E2" i="8"/>
  <c r="F2" i="8" s="1"/>
  <c r="G2" i="8" s="1"/>
  <c r="D2" i="8"/>
  <c r="D2" i="7"/>
  <c r="E2" i="7" s="1"/>
  <c r="F2" i="7" s="1"/>
  <c r="G2" i="7" s="1"/>
  <c r="H26" i="6"/>
  <c r="I26" i="6"/>
  <c r="J26" i="6"/>
  <c r="K26" i="6"/>
  <c r="G26" i="6"/>
  <c r="G9" i="6"/>
  <c r="E41" i="6"/>
  <c r="F41" i="6"/>
  <c r="D41" i="6"/>
  <c r="D39" i="6"/>
  <c r="E39" i="6"/>
  <c r="F39" i="6"/>
  <c r="C39" i="6"/>
  <c r="D38" i="6"/>
  <c r="C38" i="6"/>
  <c r="D37" i="6"/>
  <c r="C37" i="6"/>
  <c r="D36" i="6"/>
  <c r="C36" i="6"/>
  <c r="D35" i="6"/>
  <c r="C35" i="6"/>
  <c r="F25" i="6"/>
  <c r="F29" i="6"/>
  <c r="E29" i="6"/>
  <c r="D29" i="6"/>
  <c r="C29" i="6"/>
  <c r="H30" i="1" l="1"/>
  <c r="H32" i="1"/>
  <c r="K33" i="1"/>
  <c r="G19" i="7" s="1"/>
  <c r="K38" i="1"/>
  <c r="G41" i="6"/>
  <c r="H41" i="6" s="1"/>
  <c r="I41" i="6" s="1"/>
  <c r="H9" i="6"/>
  <c r="D21" i="6"/>
  <c r="C20" i="6"/>
  <c r="D20" i="6"/>
  <c r="E20" i="6"/>
  <c r="F20" i="6"/>
  <c r="D33" i="7" l="1"/>
  <c r="I30" i="1"/>
  <c r="D18" i="7"/>
  <c r="I32" i="1"/>
  <c r="J41" i="6"/>
  <c r="K41" i="6" s="1"/>
  <c r="I9" i="6"/>
  <c r="D52" i="1"/>
  <c r="E52" i="1"/>
  <c r="F52" i="1"/>
  <c r="D56" i="1"/>
  <c r="E56" i="1"/>
  <c r="F56" i="1"/>
  <c r="D61" i="1"/>
  <c r="E61" i="1"/>
  <c r="F61" i="1"/>
  <c r="D65" i="1"/>
  <c r="E65" i="1"/>
  <c r="E66" i="1" s="1"/>
  <c r="F65" i="1"/>
  <c r="F66" i="1" s="1"/>
  <c r="D69" i="1"/>
  <c r="E69" i="1"/>
  <c r="F69" i="1"/>
  <c r="C65" i="1"/>
  <c r="C69" i="1"/>
  <c r="C71" i="1" s="1"/>
  <c r="C61" i="1"/>
  <c r="C56" i="1"/>
  <c r="C52" i="1"/>
  <c r="E33" i="7" l="1"/>
  <c r="J30" i="1"/>
  <c r="E18" i="7"/>
  <c r="J32" i="1"/>
  <c r="D71" i="1"/>
  <c r="D70" i="1"/>
  <c r="E71" i="1"/>
  <c r="E70" i="1"/>
  <c r="F71" i="1"/>
  <c r="F70" i="1"/>
  <c r="D66" i="1"/>
  <c r="J9" i="6"/>
  <c r="C9" i="6"/>
  <c r="C8" i="6"/>
  <c r="D8" i="6"/>
  <c r="E8" i="6"/>
  <c r="F8" i="6"/>
  <c r="D5" i="6"/>
  <c r="D57" i="1" s="1"/>
  <c r="D58" i="1" s="1"/>
  <c r="F5" i="6"/>
  <c r="F57" i="1" s="1"/>
  <c r="F58" i="1" s="1"/>
  <c r="E5" i="6"/>
  <c r="E57" i="1" s="1"/>
  <c r="E58" i="1" s="1"/>
  <c r="C5" i="6"/>
  <c r="D4" i="6"/>
  <c r="D53" i="1" s="1"/>
  <c r="D54" i="1" s="1"/>
  <c r="E4" i="6"/>
  <c r="E53" i="1" s="1"/>
  <c r="E54" i="1" s="1"/>
  <c r="C4" i="6"/>
  <c r="F33" i="7" l="1"/>
  <c r="K30" i="1"/>
  <c r="G33" i="7" s="1"/>
  <c r="F18" i="7"/>
  <c r="K32" i="1"/>
  <c r="G18" i="7" s="1"/>
  <c r="K9" i="6"/>
  <c r="C33" i="6"/>
  <c r="D67" i="1"/>
  <c r="D62" i="1"/>
  <c r="C57" i="1"/>
  <c r="C58" i="1" s="1"/>
  <c r="G58" i="1" s="1"/>
  <c r="H58" i="1" s="1"/>
  <c r="H57" i="1" s="1"/>
  <c r="C67" i="1"/>
  <c r="C62" i="1"/>
  <c r="F62" i="1"/>
  <c r="C6" i="6"/>
  <c r="C53" i="1"/>
  <c r="C54" i="1" s="1"/>
  <c r="E33" i="6"/>
  <c r="E62" i="1"/>
  <c r="E67" i="1"/>
  <c r="F67" i="1"/>
  <c r="D33" i="6"/>
  <c r="E6" i="6"/>
  <c r="D6" i="6"/>
  <c r="H34" i="5"/>
  <c r="I34" i="5"/>
  <c r="J34" i="5"/>
  <c r="K34" i="5"/>
  <c r="G34" i="5"/>
  <c r="H37" i="5"/>
  <c r="I37" i="5"/>
  <c r="J37" i="5"/>
  <c r="K37" i="5"/>
  <c r="G37" i="5"/>
  <c r="H29" i="5"/>
  <c r="I29" i="5"/>
  <c r="J29" i="5" s="1"/>
  <c r="K29" i="5" s="1"/>
  <c r="G29" i="5"/>
  <c r="H32" i="5"/>
  <c r="I32" i="5"/>
  <c r="J32" i="5"/>
  <c r="K32" i="5"/>
  <c r="G32" i="5"/>
  <c r="H19" i="5"/>
  <c r="I19" i="5"/>
  <c r="J19" i="5"/>
  <c r="K19" i="5"/>
  <c r="G19" i="5"/>
  <c r="H22" i="5"/>
  <c r="I22" i="5"/>
  <c r="J22" i="5"/>
  <c r="K22" i="5"/>
  <c r="G22" i="5"/>
  <c r="H9" i="5"/>
  <c r="I9" i="5"/>
  <c r="J9" i="5" s="1"/>
  <c r="K9" i="5" s="1"/>
  <c r="G9" i="5"/>
  <c r="H12" i="5"/>
  <c r="I12" i="5" s="1"/>
  <c r="G12" i="5"/>
  <c r="H4" i="5"/>
  <c r="I4" i="5" s="1"/>
  <c r="J4" i="5" s="1"/>
  <c r="K4" i="5" s="1"/>
  <c r="G4" i="5"/>
  <c r="H7" i="5"/>
  <c r="I7" i="5"/>
  <c r="J7" i="5"/>
  <c r="K7" i="5"/>
  <c r="G7" i="5"/>
  <c r="G62" i="1" l="1"/>
  <c r="H62" i="1" s="1"/>
  <c r="I62" i="1" s="1"/>
  <c r="G67" i="1"/>
  <c r="C10" i="6"/>
  <c r="C32" i="6"/>
  <c r="E10" i="6"/>
  <c r="E37" i="6" s="1"/>
  <c r="E38" i="6" s="1"/>
  <c r="E32" i="6"/>
  <c r="G57" i="1"/>
  <c r="D10" i="6"/>
  <c r="D32" i="6"/>
  <c r="I58" i="1"/>
  <c r="I57" i="1" s="1"/>
  <c r="H67" i="1"/>
  <c r="I67" i="1" s="1"/>
  <c r="J67" i="1" s="1"/>
  <c r="J12" i="5"/>
  <c r="K12" i="5" s="1"/>
  <c r="J58" i="1" l="1"/>
  <c r="J57" i="1" s="1"/>
  <c r="C16" i="6"/>
  <c r="C21" i="6" s="1"/>
  <c r="C34" i="6"/>
  <c r="C73" i="1"/>
  <c r="J62" i="1"/>
  <c r="K67" i="1"/>
  <c r="E16" i="6"/>
  <c r="E34" i="6"/>
  <c r="E73" i="1"/>
  <c r="D16" i="6"/>
  <c r="D34" i="6"/>
  <c r="D73" i="1"/>
  <c r="E35" i="6" l="1"/>
  <c r="E21" i="6"/>
  <c r="E36" i="6" s="1"/>
  <c r="K58" i="1"/>
  <c r="K57" i="1" s="1"/>
  <c r="K62" i="1"/>
  <c r="F36" i="5" l="1"/>
  <c r="E36" i="5"/>
  <c r="D36" i="5"/>
  <c r="F34" i="5"/>
  <c r="F39" i="5" s="1"/>
  <c r="F4" i="6" s="1"/>
  <c r="E34" i="5"/>
  <c r="E39" i="5" s="1"/>
  <c r="D34" i="5"/>
  <c r="D39" i="5" s="1"/>
  <c r="C34" i="5"/>
  <c r="F31" i="5"/>
  <c r="E31" i="5"/>
  <c r="D31" i="5"/>
  <c r="F30" i="5"/>
  <c r="E30" i="5"/>
  <c r="E32" i="5" s="1"/>
  <c r="C29" i="5"/>
  <c r="D30" i="5" s="1"/>
  <c r="D32" i="5" s="1"/>
  <c r="F26" i="5"/>
  <c r="E26" i="5"/>
  <c r="E27" i="5" s="1"/>
  <c r="D26" i="5"/>
  <c r="F25" i="5"/>
  <c r="E25" i="5"/>
  <c r="C24" i="5"/>
  <c r="D25" i="5" s="1"/>
  <c r="D27" i="5" s="1"/>
  <c r="F21" i="5"/>
  <c r="E21" i="5"/>
  <c r="D21" i="5"/>
  <c r="F20" i="5"/>
  <c r="E20" i="5"/>
  <c r="C19" i="5"/>
  <c r="D20" i="5" s="1"/>
  <c r="F16" i="5"/>
  <c r="E16" i="5"/>
  <c r="D16" i="5"/>
  <c r="F15" i="5"/>
  <c r="F17" i="5" s="1"/>
  <c r="E15" i="5"/>
  <c r="E17" i="5" s="1"/>
  <c r="C14" i="5"/>
  <c r="D15" i="5" s="1"/>
  <c r="D17" i="5" s="1"/>
  <c r="F11" i="5"/>
  <c r="E11" i="5"/>
  <c r="D11" i="5"/>
  <c r="F10" i="5"/>
  <c r="E10" i="5"/>
  <c r="C9" i="5"/>
  <c r="D10" i="5" s="1"/>
  <c r="D12" i="5" s="1"/>
  <c r="E7" i="5"/>
  <c r="F6" i="5"/>
  <c r="D6" i="5"/>
  <c r="F5" i="5"/>
  <c r="E5" i="5"/>
  <c r="C4" i="5"/>
  <c r="D5" i="5" s="1"/>
  <c r="D14" i="4"/>
  <c r="E14" i="4"/>
  <c r="F14" i="4"/>
  <c r="C14" i="4"/>
  <c r="D11" i="4"/>
  <c r="E11" i="4"/>
  <c r="F11" i="4"/>
  <c r="C11" i="4"/>
  <c r="F4" i="4"/>
  <c r="F5" i="4" s="1"/>
  <c r="E5" i="4"/>
  <c r="E4" i="4"/>
  <c r="D5" i="4"/>
  <c r="D4" i="4"/>
  <c r="C5" i="4"/>
  <c r="D2" i="4"/>
  <c r="E2" i="4" s="1"/>
  <c r="F2" i="4" s="1"/>
  <c r="G2" i="4" s="1"/>
  <c r="H2" i="4" s="1"/>
  <c r="I2" i="4" s="1"/>
  <c r="J2" i="4" s="1"/>
  <c r="K2" i="4" s="1"/>
  <c r="B4" i="3"/>
  <c r="B17" i="3"/>
  <c r="B5" i="3"/>
  <c r="B16" i="3"/>
  <c r="B15" i="3"/>
  <c r="B13" i="3"/>
  <c r="H17" i="5" l="1"/>
  <c r="I17" i="5"/>
  <c r="G17" i="5"/>
  <c r="F15" i="4"/>
  <c r="F76" i="1"/>
  <c r="G76" i="1" s="1"/>
  <c r="F33" i="6"/>
  <c r="F53" i="1"/>
  <c r="F54" i="1" s="1"/>
  <c r="F6" i="6"/>
  <c r="E12" i="5"/>
  <c r="F12" i="5"/>
  <c r="E22" i="5"/>
  <c r="C39" i="5"/>
  <c r="F7" i="5"/>
  <c r="D7" i="5"/>
  <c r="D22" i="5"/>
  <c r="F27" i="5"/>
  <c r="F22" i="5"/>
  <c r="F32" i="5"/>
  <c r="D35" i="5"/>
  <c r="D37" i="5" s="1"/>
  <c r="E35" i="5"/>
  <c r="E37" i="5" s="1"/>
  <c r="F35" i="5"/>
  <c r="F37" i="5" s="1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C50" i="2"/>
  <c r="O45" i="2" s="1"/>
  <c r="B22" i="2" s="1"/>
  <c r="F22" i="2" s="1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C39" i="2"/>
  <c r="D22" i="2" s="1"/>
  <c r="D23" i="2"/>
  <c r="E39" i="2"/>
  <c r="D24" i="2" s="1"/>
  <c r="B39" i="2"/>
  <c r="D21" i="2" s="1"/>
  <c r="C35" i="2"/>
  <c r="C22" i="2" s="1"/>
  <c r="D35" i="2"/>
  <c r="C23" i="2" s="1"/>
  <c r="E35" i="2"/>
  <c r="C24" i="2" s="1"/>
  <c r="B35" i="2"/>
  <c r="C21" i="2" s="1"/>
  <c r="B15" i="2"/>
  <c r="B16" i="2" s="1"/>
  <c r="B6" i="2" s="1"/>
  <c r="E42" i="1"/>
  <c r="F42" i="1"/>
  <c r="D42" i="1"/>
  <c r="C28" i="1"/>
  <c r="F28" i="1"/>
  <c r="F43" i="1" s="1"/>
  <c r="E28" i="1"/>
  <c r="D28" i="1"/>
  <c r="E9" i="1"/>
  <c r="E17" i="1" s="1"/>
  <c r="F9" i="1"/>
  <c r="F17" i="1" s="1"/>
  <c r="C9" i="1"/>
  <c r="C17" i="1" s="1"/>
  <c r="D9" i="1"/>
  <c r="D17" i="1" s="1"/>
  <c r="D2" i="1"/>
  <c r="E2" i="1" s="1"/>
  <c r="F2" i="1" s="1"/>
  <c r="G2" i="1" s="1"/>
  <c r="H2" i="1" s="1"/>
  <c r="I2" i="1" s="1"/>
  <c r="J2" i="1" s="1"/>
  <c r="K2" i="1" s="1"/>
  <c r="G27" i="5" l="1"/>
  <c r="G24" i="5" s="1"/>
  <c r="F32" i="6"/>
  <c r="F10" i="6"/>
  <c r="G54" i="1"/>
  <c r="G33" i="6"/>
  <c r="I33" i="6" s="1"/>
  <c r="H33" i="6"/>
  <c r="H76" i="1"/>
  <c r="G15" i="4"/>
  <c r="H15" i="4"/>
  <c r="I15" i="4"/>
  <c r="J15" i="4"/>
  <c r="J17" i="5"/>
  <c r="K17" i="5" s="1"/>
  <c r="G14" i="5"/>
  <c r="D43" i="1"/>
  <c r="D45" i="1"/>
  <c r="C45" i="2"/>
  <c r="L45" i="2"/>
  <c r="B23" i="2" s="1"/>
  <c r="F23" i="2" s="1"/>
  <c r="F45" i="2"/>
  <c r="B21" i="2" s="1"/>
  <c r="F21" i="2" s="1"/>
  <c r="I45" i="2"/>
  <c r="B24" i="2" s="1"/>
  <c r="F24" i="2" s="1"/>
  <c r="E21" i="2"/>
  <c r="E24" i="2"/>
  <c r="E23" i="2"/>
  <c r="E22" i="2"/>
  <c r="F45" i="1"/>
  <c r="E43" i="1"/>
  <c r="E45" i="1" s="1"/>
  <c r="C43" i="1"/>
  <c r="C45" i="1" s="1"/>
  <c r="I27" i="5" l="1"/>
  <c r="H24" i="5"/>
  <c r="I24" i="5" s="1"/>
  <c r="H27" i="5"/>
  <c r="H54" i="1"/>
  <c r="G53" i="1"/>
  <c r="I76" i="1"/>
  <c r="F37" i="6"/>
  <c r="F38" i="6" s="1"/>
  <c r="F16" i="6"/>
  <c r="F73" i="1"/>
  <c r="G73" i="1" s="1"/>
  <c r="H73" i="1" s="1"/>
  <c r="F34" i="6"/>
  <c r="K15" i="4"/>
  <c r="H14" i="5"/>
  <c r="G39" i="5"/>
  <c r="G4" i="6" s="1"/>
  <c r="G8" i="6" s="1"/>
  <c r="J33" i="6"/>
  <c r="K33" i="6" s="1"/>
  <c r="G32" i="6"/>
  <c r="B26" i="2"/>
  <c r="B27" i="2" s="1"/>
  <c r="B7" i="2" s="1"/>
  <c r="B8" i="2" s="1"/>
  <c r="B17" i="9" s="1"/>
  <c r="G14" i="8"/>
  <c r="G52" i="1" l="1"/>
  <c r="G6" i="1" s="1"/>
  <c r="C8" i="7" s="1"/>
  <c r="J27" i="5"/>
  <c r="K27" i="5" s="1"/>
  <c r="H53" i="1"/>
  <c r="I54" i="1"/>
  <c r="J54" i="1"/>
  <c r="J53" i="1" s="1"/>
  <c r="J76" i="1"/>
  <c r="H32" i="6"/>
  <c r="G5" i="6"/>
  <c r="G6" i="4"/>
  <c r="G75" i="1"/>
  <c r="G14" i="1" s="1"/>
  <c r="C27" i="7" s="1"/>
  <c r="F35" i="6"/>
  <c r="F21" i="6"/>
  <c r="F36" i="6" s="1"/>
  <c r="G34" i="6"/>
  <c r="I14" i="5"/>
  <c r="H39" i="5"/>
  <c r="H4" i="6" s="1"/>
  <c r="C14" i="8"/>
  <c r="J24" i="5" l="1"/>
  <c r="K24" i="5" s="1"/>
  <c r="G5" i="4"/>
  <c r="H4" i="4"/>
  <c r="G11" i="4"/>
  <c r="G15" i="1"/>
  <c r="G36" i="6"/>
  <c r="H36" i="6"/>
  <c r="I36" i="6" s="1"/>
  <c r="G35" i="6"/>
  <c r="C5" i="9" s="1"/>
  <c r="G61" i="1"/>
  <c r="G8" i="1" s="1"/>
  <c r="C10" i="7" s="1"/>
  <c r="G56" i="1"/>
  <c r="G7" i="1" s="1"/>
  <c r="C9" i="7" s="1"/>
  <c r="G65" i="1"/>
  <c r="G66" i="1" s="1"/>
  <c r="H52" i="1"/>
  <c r="H6" i="1" s="1"/>
  <c r="D8" i="7" s="1"/>
  <c r="I32" i="6"/>
  <c r="J32" i="6"/>
  <c r="K32" i="6" s="1"/>
  <c r="K76" i="1"/>
  <c r="H6" i="6"/>
  <c r="H10" i="6" s="1"/>
  <c r="H5" i="6"/>
  <c r="H56" i="1" s="1"/>
  <c r="H7" i="1" s="1"/>
  <c r="H75" i="1"/>
  <c r="H14" i="1" s="1"/>
  <c r="D27" i="7" s="1"/>
  <c r="H6" i="4"/>
  <c r="H8" i="6"/>
  <c r="J14" i="5"/>
  <c r="I39" i="5"/>
  <c r="I4" i="6" s="1"/>
  <c r="I53" i="1"/>
  <c r="I52" i="1" s="1"/>
  <c r="I6" i="1" s="1"/>
  <c r="E8" i="7" s="1"/>
  <c r="K54" i="1"/>
  <c r="K53" i="1" s="1"/>
  <c r="G6" i="6"/>
  <c r="G10" i="6" s="1"/>
  <c r="H34" i="6"/>
  <c r="I34" i="6" s="1"/>
  <c r="J34" i="6" s="1"/>
  <c r="I73" i="1"/>
  <c r="D14" i="8"/>
  <c r="J36" i="6" l="1"/>
  <c r="K36" i="6" s="1"/>
  <c r="D9" i="7"/>
  <c r="D5" i="9"/>
  <c r="D4" i="9"/>
  <c r="H35" i="6"/>
  <c r="C10" i="9"/>
  <c r="C24" i="7"/>
  <c r="C28" i="7" s="1"/>
  <c r="G26" i="1"/>
  <c r="G22" i="1"/>
  <c r="G27" i="1"/>
  <c r="I5" i="6"/>
  <c r="I6" i="6"/>
  <c r="I6" i="4"/>
  <c r="I8" i="6"/>
  <c r="I75" i="1"/>
  <c r="I14" i="1" s="1"/>
  <c r="E27" i="7" s="1"/>
  <c r="K14" i="5"/>
  <c r="K39" i="5" s="1"/>
  <c r="K4" i="6" s="1"/>
  <c r="K75" i="1" s="1"/>
  <c r="K14" i="1" s="1"/>
  <c r="J39" i="5"/>
  <c r="J4" i="6" s="1"/>
  <c r="C6" i="7"/>
  <c r="G7" i="4"/>
  <c r="G13" i="4"/>
  <c r="G40" i="6"/>
  <c r="C8" i="9" s="1"/>
  <c r="H15" i="1"/>
  <c r="I4" i="4"/>
  <c r="H5" i="4"/>
  <c r="H11" i="4"/>
  <c r="C4" i="9"/>
  <c r="H65" i="1"/>
  <c r="H66" i="1" s="1"/>
  <c r="H61" i="1"/>
  <c r="H8" i="1" s="1"/>
  <c r="D10" i="7" s="1"/>
  <c r="K34" i="6"/>
  <c r="J73" i="1"/>
  <c r="F14" i="8" s="1"/>
  <c r="E14" i="8"/>
  <c r="I10" i="6" l="1"/>
  <c r="E4" i="9" s="1"/>
  <c r="I65" i="1"/>
  <c r="I66" i="1" s="1"/>
  <c r="I61" i="1"/>
  <c r="I8" i="1" s="1"/>
  <c r="E10" i="7" s="1"/>
  <c r="I56" i="1"/>
  <c r="I7" i="1" s="1"/>
  <c r="E9" i="7" s="1"/>
  <c r="D6" i="7"/>
  <c r="H13" i="4"/>
  <c r="H40" i="6"/>
  <c r="C12" i="7"/>
  <c r="H22" i="1"/>
  <c r="D12" i="7" s="1"/>
  <c r="H7" i="4"/>
  <c r="G16" i="1"/>
  <c r="G8" i="4"/>
  <c r="H27" i="1"/>
  <c r="C16" i="7"/>
  <c r="D10" i="9"/>
  <c r="D24" i="7"/>
  <c r="D28" i="7" s="1"/>
  <c r="K52" i="1"/>
  <c r="K6" i="1" s="1"/>
  <c r="C6" i="9"/>
  <c r="C7" i="9" s="1"/>
  <c r="J5" i="6"/>
  <c r="J6" i="4"/>
  <c r="J8" i="6"/>
  <c r="J52" i="1"/>
  <c r="J6" i="1" s="1"/>
  <c r="F8" i="7" s="1"/>
  <c r="J75" i="1"/>
  <c r="J14" i="1" s="1"/>
  <c r="F27" i="7" s="1"/>
  <c r="K5" i="6"/>
  <c r="K6" i="6"/>
  <c r="K8" i="6"/>
  <c r="K6" i="4"/>
  <c r="H26" i="1"/>
  <c r="C15" i="7"/>
  <c r="E5" i="9"/>
  <c r="D6" i="9"/>
  <c r="D7" i="9" s="1"/>
  <c r="G37" i="6"/>
  <c r="I5" i="4"/>
  <c r="I11" i="4"/>
  <c r="J4" i="4"/>
  <c r="J5" i="4" s="1"/>
  <c r="I15" i="1"/>
  <c r="I35" i="6"/>
  <c r="J35" i="6"/>
  <c r="K35" i="6" s="1"/>
  <c r="E10" i="9" l="1"/>
  <c r="E24" i="7"/>
  <c r="J56" i="1"/>
  <c r="J7" i="1" s="1"/>
  <c r="F9" i="7" s="1"/>
  <c r="J61" i="1"/>
  <c r="J8" i="1" s="1"/>
  <c r="F10" i="7" s="1"/>
  <c r="J65" i="1"/>
  <c r="J66" i="1" s="1"/>
  <c r="K10" i="6"/>
  <c r="G8" i="7"/>
  <c r="E28" i="7"/>
  <c r="D16" i="7"/>
  <c r="I27" i="1"/>
  <c r="G38" i="6"/>
  <c r="C8" i="8"/>
  <c r="D8" i="9"/>
  <c r="H37" i="6"/>
  <c r="K65" i="1"/>
  <c r="K66" i="1" s="1"/>
  <c r="K56" i="1"/>
  <c r="K7" i="1" s="1"/>
  <c r="G9" i="7" s="1"/>
  <c r="K61" i="1"/>
  <c r="K8" i="1" s="1"/>
  <c r="F5" i="9"/>
  <c r="E6" i="9"/>
  <c r="E7" i="9" s="1"/>
  <c r="F10" i="9"/>
  <c r="F24" i="7"/>
  <c r="K4" i="4"/>
  <c r="K5" i="4" s="1"/>
  <c r="J15" i="1"/>
  <c r="F28" i="7" s="1"/>
  <c r="J11" i="4"/>
  <c r="I22" i="1"/>
  <c r="H16" i="1"/>
  <c r="I7" i="4"/>
  <c r="H8" i="4"/>
  <c r="D15" i="7"/>
  <c r="I26" i="1"/>
  <c r="E6" i="7"/>
  <c r="I13" i="4"/>
  <c r="I40" i="6"/>
  <c r="K11" i="4"/>
  <c r="K15" i="1"/>
  <c r="J6" i="6"/>
  <c r="J10" i="6" s="1"/>
  <c r="G27" i="7"/>
  <c r="G10" i="9" l="1"/>
  <c r="G24" i="7"/>
  <c r="G28" i="7" s="1"/>
  <c r="F6" i="7"/>
  <c r="J13" i="4"/>
  <c r="J40" i="6"/>
  <c r="F8" i="9" s="1"/>
  <c r="H38" i="6"/>
  <c r="D8" i="8"/>
  <c r="J7" i="4"/>
  <c r="I16" i="1"/>
  <c r="I8" i="4"/>
  <c r="G29" i="1"/>
  <c r="D5" i="8"/>
  <c r="C6" i="8"/>
  <c r="F4" i="9"/>
  <c r="F6" i="9" s="1"/>
  <c r="F7" i="9" s="1"/>
  <c r="J37" i="6"/>
  <c r="G4" i="9"/>
  <c r="G6" i="7"/>
  <c r="K13" i="4"/>
  <c r="K40" i="6"/>
  <c r="G8" i="9" s="1"/>
  <c r="E8" i="9"/>
  <c r="I37" i="6"/>
  <c r="E12" i="7"/>
  <c r="J22" i="1"/>
  <c r="J27" i="1"/>
  <c r="E16" i="7"/>
  <c r="J26" i="1"/>
  <c r="E15" i="7"/>
  <c r="G10" i="7"/>
  <c r="F12" i="7" l="1"/>
  <c r="K22" i="1"/>
  <c r="G12" i="7" s="1"/>
  <c r="J38" i="6"/>
  <c r="F8" i="8"/>
  <c r="I38" i="6"/>
  <c r="E8" i="8"/>
  <c r="D12" i="8"/>
  <c r="H13" i="6" s="1"/>
  <c r="H16" i="6" s="1"/>
  <c r="H20" i="6" s="1"/>
  <c r="H21" i="6" s="1"/>
  <c r="G7" i="9"/>
  <c r="G6" i="9"/>
  <c r="C31" i="7"/>
  <c r="C12" i="8"/>
  <c r="G13" i="6" s="1"/>
  <c r="G16" i="6" s="1"/>
  <c r="G20" i="6" s="1"/>
  <c r="G21" i="6" s="1"/>
  <c r="K27" i="1"/>
  <c r="G16" i="7" s="1"/>
  <c r="F16" i="7"/>
  <c r="J16" i="1"/>
  <c r="K7" i="4"/>
  <c r="J8" i="4"/>
  <c r="H29" i="1"/>
  <c r="D6" i="8"/>
  <c r="D31" i="7" s="1"/>
  <c r="E5" i="8"/>
  <c r="K26" i="1"/>
  <c r="G15" i="7" s="1"/>
  <c r="F15" i="7"/>
  <c r="K37" i="6"/>
  <c r="C5" i="7"/>
  <c r="G25" i="6"/>
  <c r="G28" i="6" s="1"/>
  <c r="G39" i="6" s="1"/>
  <c r="C38" i="7" s="1"/>
  <c r="C39" i="7" s="1"/>
  <c r="K16" i="1" l="1"/>
  <c r="K8" i="4"/>
  <c r="J29" i="1"/>
  <c r="G5" i="8"/>
  <c r="F6" i="8"/>
  <c r="F31" i="7" s="1"/>
  <c r="K38" i="6"/>
  <c r="G8" i="8"/>
  <c r="I29" i="1"/>
  <c r="F5" i="8"/>
  <c r="E6" i="8"/>
  <c r="E31" i="7" s="1"/>
  <c r="G39" i="1"/>
  <c r="G42" i="1" s="1"/>
  <c r="D5" i="7"/>
  <c r="H25" i="6"/>
  <c r="H28" i="6" s="1"/>
  <c r="H39" i="6" s="1"/>
  <c r="D38" i="7" s="1"/>
  <c r="D39" i="7" s="1"/>
  <c r="E12" i="8" l="1"/>
  <c r="I13" i="6" s="1"/>
  <c r="I16" i="6" s="1"/>
  <c r="I20" i="6" s="1"/>
  <c r="I21" i="6" s="1"/>
  <c r="K29" i="1"/>
  <c r="G6" i="8"/>
  <c r="G31" i="7" s="1"/>
  <c r="F12" i="8"/>
  <c r="J13" i="6" s="1"/>
  <c r="J16" i="6" s="1"/>
  <c r="J20" i="6" s="1"/>
  <c r="J21" i="6" s="1"/>
  <c r="J25" i="6" s="1"/>
  <c r="J28" i="6" s="1"/>
  <c r="J39" i="6" s="1"/>
  <c r="F38" i="7" s="1"/>
  <c r="F39" i="7" s="1"/>
  <c r="H39" i="1"/>
  <c r="F5" i="7"/>
  <c r="E5" i="7"/>
  <c r="I25" i="6"/>
  <c r="I28" i="6" s="1"/>
  <c r="I39" i="6" s="1"/>
  <c r="E38" i="7" s="1"/>
  <c r="E39" i="7" s="1"/>
  <c r="G12" i="8" l="1"/>
  <c r="K13" i="6" s="1"/>
  <c r="K16" i="6" s="1"/>
  <c r="K20" i="6" s="1"/>
  <c r="K21" i="6" s="1"/>
  <c r="I39" i="1"/>
  <c r="J39" i="1" s="1"/>
  <c r="H42" i="1"/>
  <c r="G5" i="7" l="1"/>
  <c r="K25" i="6"/>
  <c r="K28" i="6" s="1"/>
  <c r="K39" i="6" s="1"/>
  <c r="G38" i="7" s="1"/>
  <c r="G39" i="7" s="1"/>
  <c r="I42" i="1"/>
  <c r="K39" i="1" l="1"/>
  <c r="K42" i="1"/>
  <c r="J42" i="1"/>
  <c r="G5" i="1" l="1"/>
  <c r="H5" i="1"/>
  <c r="I5" i="1"/>
  <c r="J5" i="1"/>
  <c r="K5" i="1"/>
  <c r="G9" i="1"/>
  <c r="H9" i="1"/>
  <c r="I9" i="1"/>
  <c r="J9" i="1"/>
  <c r="K9" i="1"/>
  <c r="G17" i="1"/>
  <c r="H17" i="1"/>
  <c r="I17" i="1"/>
  <c r="J17" i="1"/>
  <c r="K17" i="1"/>
  <c r="G24" i="1"/>
  <c r="H24" i="1"/>
  <c r="I24" i="1"/>
  <c r="J24" i="1"/>
  <c r="K24" i="1"/>
  <c r="G25" i="1"/>
  <c r="H25" i="1"/>
  <c r="I25" i="1"/>
  <c r="J25" i="1"/>
  <c r="K25" i="1"/>
  <c r="G28" i="1"/>
  <c r="H28" i="1"/>
  <c r="I28" i="1"/>
  <c r="J28" i="1"/>
  <c r="K28" i="1"/>
  <c r="G43" i="1"/>
  <c r="H43" i="1"/>
  <c r="I43" i="1"/>
  <c r="J43" i="1"/>
  <c r="K43" i="1"/>
  <c r="G45" i="1"/>
  <c r="H45" i="1"/>
  <c r="I45" i="1"/>
  <c r="J45" i="1"/>
  <c r="K45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C13" i="7"/>
  <c r="D13" i="7"/>
  <c r="E13" i="7"/>
  <c r="F13" i="7"/>
  <c r="G13" i="7"/>
  <c r="C14" i="7"/>
  <c r="D14" i="7"/>
  <c r="E14" i="7"/>
  <c r="F14" i="7"/>
  <c r="G14" i="7"/>
  <c r="C21" i="7"/>
  <c r="D21" i="7"/>
  <c r="E21" i="7"/>
  <c r="F21" i="7"/>
  <c r="G21" i="7"/>
  <c r="C41" i="7"/>
  <c r="D41" i="7"/>
  <c r="E41" i="7"/>
  <c r="F41" i="7"/>
  <c r="G41" i="7"/>
  <c r="D43" i="7"/>
  <c r="E43" i="7"/>
  <c r="F43" i="7"/>
  <c r="G43" i="7"/>
  <c r="C44" i="7"/>
  <c r="D44" i="7"/>
  <c r="E44" i="7"/>
  <c r="F44" i="7"/>
  <c r="G44" i="7"/>
  <c r="C9" i="9"/>
  <c r="D9" i="9"/>
  <c r="E9" i="9"/>
  <c r="F9" i="9"/>
  <c r="G9" i="9"/>
  <c r="C11" i="9"/>
  <c r="D11" i="9"/>
  <c r="E11" i="9"/>
  <c r="F11" i="9"/>
  <c r="G11" i="9"/>
  <c r="D12" i="9"/>
  <c r="E12" i="9"/>
  <c r="F12" i="9"/>
  <c r="G12" i="9"/>
  <c r="G15" i="9"/>
  <c r="C16" i="9"/>
  <c r="D16" i="9"/>
  <c r="E16" i="9"/>
  <c r="F16" i="9"/>
  <c r="G16" i="9"/>
  <c r="C18" i="9"/>
  <c r="D18" i="9"/>
  <c r="E18" i="9"/>
  <c r="F18" i="9"/>
  <c r="G18" i="9"/>
  <c r="B19" i="9"/>
  <c r="B23" i="9"/>
  <c r="B25" i="9"/>
  <c r="A2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mariami gigineishvili</author>
    <author>datuna</author>
  </authors>
  <commentList>
    <comment ref="D6" authorId="0" shapeId="0" xr:uid="{B1649D90-2ECC-4960-83BF-80F326E61CD6}">
      <text>
        <r>
          <rPr>
            <b/>
            <sz val="10"/>
            <color indexed="81"/>
            <rFont val="Tahoma"/>
            <family val="2"/>
            <charset val="204"/>
          </rPr>
          <t xml:space="preserve">You can see the note once again how inorganic growth was calculated on the right of the table below (Cell M15)
</t>
        </r>
      </text>
    </comment>
    <comment ref="F31" authorId="1" shapeId="0" xr:uid="{2C130C6E-162E-4041-9206-A18E9F28493D}">
      <text>
        <r>
          <rPr>
            <sz val="9"/>
            <color indexed="81"/>
            <rFont val="Tahoma"/>
            <family val="2"/>
            <charset val="204"/>
          </rPr>
          <t>n/m, it was not meaningful according to the source in 10K document</t>
        </r>
      </text>
    </comment>
    <comment ref="A39" authorId="0" shapeId="0" xr:uid="{0653F612-0300-43BB-B083-A88EAD57C7DC}">
      <text>
        <r>
          <rPr>
            <b/>
            <sz val="9"/>
            <color indexed="81"/>
            <rFont val="Tahoma"/>
            <family val="2"/>
            <charset val="204"/>
          </rPr>
          <t>Unlike Coca-cola, for Mcdonald's there are almost no intersegment eliminations since restaurants, mostly, operate independently across regions.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mariami gigineishvili</author>
  </authors>
  <commentList>
    <comment ref="A5" authorId="0" shapeId="0" xr:uid="{45388874-5661-4830-B629-EF792C98CCD7}">
      <text>
        <r>
          <rPr>
            <b/>
            <sz val="9"/>
            <color indexed="81"/>
            <rFont val="Tahoma"/>
            <family val="2"/>
            <charset val="204"/>
          </rPr>
          <t>We treated restaurant operating expenses as COGS in Coca-Cola example.</t>
        </r>
      </text>
    </comment>
    <comment ref="A12" authorId="0" shapeId="0" xr:uid="{F8D6763B-5D8E-442D-8743-8C789D522CD1}">
      <text>
        <r>
          <rPr>
            <b/>
            <sz val="9"/>
            <color indexed="81"/>
            <rFont val="Tahoma"/>
            <family val="2"/>
            <charset val="204"/>
          </rPr>
          <t xml:space="preserve">So, if this is positive its expense, if negative its income
</t>
        </r>
      </text>
    </comment>
    <comment ref="A14" authorId="0" shapeId="0" xr:uid="{8C0AFDF2-339B-4533-978F-D80EC4D3781F}">
      <text>
        <r>
          <rPr>
            <b/>
            <sz val="9"/>
            <color indexed="81"/>
            <rFont val="Tahoma"/>
            <family val="2"/>
            <charset val="204"/>
          </rPr>
          <t>We didn't explicitely include normalized variables because in the 8K it was not specified whether it came from interest or other expenses. Though Most Importantly we have normalized Income before income taxes</t>
        </r>
      </text>
    </comment>
    <comment ref="F14" authorId="0" shapeId="0" xr:uid="{B417F1FE-1BAE-4F60-9E27-660B1969197E}">
      <text>
        <r>
          <rPr>
            <b/>
            <sz val="9"/>
            <color indexed="81"/>
            <rFont val="Tahoma"/>
            <family val="2"/>
            <charset val="204"/>
          </rPr>
          <t>These row inputs  are from 8K page 4  table.</t>
        </r>
      </text>
    </comment>
    <comment ref="A19" authorId="0" shapeId="0" xr:uid="{6D3D2224-C359-4C96-AFC7-0EA5C89657A4}">
      <text>
        <r>
          <rPr>
            <b/>
            <sz val="9"/>
            <color indexed="81"/>
            <rFont val="Tahoma"/>
            <family val="2"/>
            <charset val="204"/>
          </rPr>
          <t>8K page 4 table</t>
        </r>
      </text>
    </comment>
    <comment ref="E21" authorId="0" shapeId="0" xr:uid="{972F73F6-1F54-4ADD-9B8C-DDB5EF5B09D3}">
      <text>
        <r>
          <rPr>
            <b/>
            <sz val="10"/>
            <color indexed="81"/>
            <rFont val="Tahoma"/>
            <family val="2"/>
            <charset val="204"/>
          </rPr>
          <t>Note that: with whole numbers seen in the 8K and 10K tables it was ~2-3 unit more than it was supposed to be. So we adjusted some of the inputs above in this column in order to get the exact Non-GAAP income. (Note that the values visible for those in the table which were adjusted are identical in terms of whole numbers.</t>
        </r>
      </text>
    </comment>
    <comment ref="F21" authorId="0" shapeId="0" xr:uid="{7EBF130D-62DB-405B-BB72-9C30C3B91CF3}">
      <text>
        <r>
          <rPr>
            <b/>
            <sz val="10"/>
            <color indexed="81"/>
            <rFont val="Tahoma"/>
            <family val="2"/>
            <charset val="204"/>
          </rPr>
          <t>Same type of small adjustments were made here not changing whole value but adding or subtracting small decimals to make Conssolidated(Non-GAAP) income identical to what Mcdonalds reported in 8K</t>
        </r>
      </text>
    </comment>
    <comment ref="K29" authorId="0" shapeId="0" xr:uid="{556F6393-4C90-4512-A1D2-922F0706FEBC}">
      <text>
        <r>
          <rPr>
            <b/>
            <sz val="9"/>
            <color indexed="81"/>
            <rFont val="Tahoma"/>
            <family val="2"/>
            <charset val="204"/>
          </rPr>
          <t>Like in Ccoa-Cola example here we also needed to increase divident payout % in order to get realistic stabilized cash and equivalents in our balance sheet forecast, especially the last 2030 year.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66" authorId="0" shapeId="0" xr:uid="{EB6C63AC-1609-4FA5-BC79-452359EDDADA}">
      <text>
        <r>
          <rPr>
            <b/>
            <sz val="9"/>
            <color indexed="81"/>
            <rFont val="Tahoma"/>
            <family val="2"/>
            <charset val="204"/>
          </rPr>
          <t>Administrator:</t>
        </r>
        <r>
          <rPr>
            <sz val="9"/>
            <color indexed="81"/>
            <rFont val="Tahoma"/>
            <family val="2"/>
            <charset val="204"/>
          </rPr>
          <t xml:space="preserve">
we use growth rate because we forecast that all 3 variables that are included in accounts payable and accrued expenses will grow at same rate</t>
        </r>
      </text>
    </comment>
    <comment ref="A70" authorId="0" shapeId="0" xr:uid="{B9DAE68B-A1A3-4877-9952-B3AA59FEEC72}">
      <text>
        <r>
          <rPr>
            <b/>
            <sz val="9"/>
            <color indexed="81"/>
            <rFont val="Tahoma"/>
            <family val="2"/>
            <charset val="204"/>
          </rPr>
          <t>Administrator:</t>
        </r>
        <r>
          <rPr>
            <sz val="9"/>
            <color indexed="81"/>
            <rFont val="Tahoma"/>
            <family val="2"/>
            <charset val="204"/>
          </rPr>
          <t xml:space="preserve">
we assume that all taxes will change by same ammount for the upcoming years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mariami gigineishvili</author>
  </authors>
  <commentList>
    <comment ref="G12" authorId="0" shapeId="0" xr:uid="{CB9D647F-2164-42E0-B272-6D1B29A68824}">
      <text>
        <r>
          <rPr>
            <b/>
            <sz val="9"/>
            <color indexed="81"/>
            <rFont val="Tahoma"/>
            <family val="2"/>
            <charset val="204"/>
          </rPr>
          <t>We could not predict it so we enetered 0's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mariami gigineishvili</author>
    <author>Mariam Tatarashvili</author>
  </authors>
  <commentList>
    <comment ref="C9" authorId="0" shapeId="0" xr:uid="{CE2AA7A6-1929-4FF6-A436-37058B143C02}">
      <text>
        <r>
          <rPr>
            <b/>
            <sz val="9"/>
            <color indexed="81"/>
            <rFont val="Tahoma"/>
            <family val="2"/>
            <charset val="204"/>
          </rPr>
          <t>Note that Long term items are zero in CFS, so 2nd summation element is not causing inaccuracy in calculation of working capital change ( variables in CFS are already given as change)</t>
        </r>
      </text>
    </comment>
    <comment ref="A13" authorId="1" shapeId="0" xr:uid="{7AAD12E4-5D46-46A3-BAF8-55FF61B1A882}">
      <text>
        <r>
          <rPr>
            <sz val="9"/>
            <color indexed="81"/>
            <rFont val="Tahoma"/>
            <family val="2"/>
          </rPr>
          <t>USA Average long term GDP growth rate. This is crucial as McDonald's is mainly American based international corporation.</t>
        </r>
      </text>
    </comment>
  </commentList>
</comments>
</file>

<file path=xl/sharedStrings.xml><?xml version="1.0" encoding="utf-8"?>
<sst xmlns="http://schemas.openxmlformats.org/spreadsheetml/2006/main" count="345" uniqueCount="274">
  <si>
    <t>Particulars</t>
  </si>
  <si>
    <t>Historical</t>
  </si>
  <si>
    <t>Forecast</t>
  </si>
  <si>
    <t>Unit</t>
  </si>
  <si>
    <t>ASSETS</t>
  </si>
  <si>
    <t>Current assets:</t>
  </si>
  <si>
    <t xml:space="preserve">   Cash and equivalents</t>
  </si>
  <si>
    <t xml:space="preserve">   Accounts and notes receivable</t>
  </si>
  <si>
    <t xml:space="preserve">   Inventories, at cost, not in excess of market</t>
  </si>
  <si>
    <t xml:space="preserve">   Prepaid expenses and other current assets</t>
  </si>
  <si>
    <t>Total current assets</t>
  </si>
  <si>
    <t>Other assets:</t>
  </si>
  <si>
    <t xml:space="preserve">   Investments in and advances to affiliates</t>
  </si>
  <si>
    <t xml:space="preserve">   Goodwill</t>
  </si>
  <si>
    <t xml:space="preserve">   Miscellaneous</t>
  </si>
  <si>
    <t>Lease right-of-use asset, net</t>
  </si>
  <si>
    <t xml:space="preserve">   Property and equipment, at cost</t>
  </si>
  <si>
    <t xml:space="preserve">   Accumulated depreciation and amortization</t>
  </si>
  <si>
    <t>Total assets</t>
  </si>
  <si>
    <t>Current liabilities:</t>
  </si>
  <si>
    <t xml:space="preserve">   Accounts payable</t>
  </si>
  <si>
    <t xml:space="preserve">   Lease liability</t>
  </si>
  <si>
    <t xml:space="preserve">   Income taxes</t>
  </si>
  <si>
    <t xml:space="preserve">   Other taxes</t>
  </si>
  <si>
    <t xml:space="preserve">   Accrued interest</t>
  </si>
  <si>
    <t xml:space="preserve">   Accrued payroll and other liabilities</t>
  </si>
  <si>
    <t>Total current liabilities</t>
  </si>
  <si>
    <t>Long-term debt</t>
  </si>
  <si>
    <t>Long-term lease liability</t>
  </si>
  <si>
    <t>Long-term income taxes</t>
  </si>
  <si>
    <t>Deferred revenues - initial franchise fees</t>
  </si>
  <si>
    <t>Other long-term liabilities</t>
  </si>
  <si>
    <t>Deferred income taxes</t>
  </si>
  <si>
    <t xml:space="preserve">   Additional paid-in capital</t>
  </si>
  <si>
    <t xml:space="preserve">   Retained earnings</t>
  </si>
  <si>
    <t xml:space="preserve">   Accumulated other comprehensive income (loss)</t>
  </si>
  <si>
    <t xml:space="preserve">   Common stock in treasury, at cost; 950.0 and 945.4 million shares</t>
  </si>
  <si>
    <t>LIABILITIES AND SHAREHOLDERS’ EQUITY (DEFICIT)</t>
  </si>
  <si>
    <t>Preferred stock, no par value; authorized – 165.0 million shares; issued – none</t>
  </si>
  <si>
    <t>Common stock, $0.01 par value; authorized – 3.5 billion shares; issued – 1,660.6 million shares</t>
  </si>
  <si>
    <t>Total shareholders’ equity (deficit)</t>
  </si>
  <si>
    <t>Short-term borrowings and current maturities of long-term debt</t>
  </si>
  <si>
    <t>$</t>
  </si>
  <si>
    <t>Total liabilities and shareholders' equity (deficit)</t>
  </si>
  <si>
    <t>check</t>
  </si>
  <si>
    <t>workings</t>
  </si>
  <si>
    <t>Cost of Equity</t>
  </si>
  <si>
    <t>Rist Free Rate</t>
  </si>
  <si>
    <t>Market Rate of Return (historic)</t>
  </si>
  <si>
    <t xml:space="preserve">Re levered (Bottom up) β </t>
  </si>
  <si>
    <t>Cost of equity (CAPM)</t>
  </si>
  <si>
    <t>Date</t>
  </si>
  <si>
    <t># of Years</t>
  </si>
  <si>
    <t>Constant growth rate (yearly) %</t>
  </si>
  <si>
    <t>Marginal tax rate</t>
  </si>
  <si>
    <t>Year</t>
  </si>
  <si>
    <t>NYSE composit Index value</t>
  </si>
  <si>
    <t>Average Market Capitalization</t>
  </si>
  <si>
    <t>Average Debt</t>
  </si>
  <si>
    <t>MacDonalds</t>
  </si>
  <si>
    <t>Wendys</t>
  </si>
  <si>
    <t>yum</t>
  </si>
  <si>
    <t>yUM</t>
  </si>
  <si>
    <t>qsr</t>
  </si>
  <si>
    <t>Regression β</t>
  </si>
  <si>
    <t>Total Capital</t>
  </si>
  <si>
    <t>Unlevered β</t>
  </si>
  <si>
    <t>mc</t>
  </si>
  <si>
    <t>we</t>
  </si>
  <si>
    <t>Price</t>
  </si>
  <si>
    <t>mcd</t>
  </si>
  <si>
    <t>NYSE (^NYA)</t>
  </si>
  <si>
    <t>Regression Beta</t>
  </si>
  <si>
    <t>returns</t>
  </si>
  <si>
    <t>wen</t>
  </si>
  <si>
    <t>Beta</t>
  </si>
  <si>
    <r>
      <t xml:space="preserve">Average unlevered </t>
    </r>
    <r>
      <rPr>
        <b/>
        <sz val="11"/>
        <color rgb="FFC00000"/>
        <rFont val="Calibri"/>
        <family val="2"/>
      </rPr>
      <t>β</t>
    </r>
  </si>
  <si>
    <t>https://www.tradingview.com/symbols/FINRA-MCD6153327/</t>
  </si>
  <si>
    <t>Cost of debt</t>
  </si>
  <si>
    <t>Market based method</t>
  </si>
  <si>
    <t xml:space="preserve">FV </t>
  </si>
  <si>
    <t>Current Market Price of Bond</t>
  </si>
  <si>
    <t>Valuation date</t>
  </si>
  <si>
    <t>Time to maturity</t>
  </si>
  <si>
    <t>Coupon rate</t>
  </si>
  <si>
    <t>Coupon amount</t>
  </si>
  <si>
    <t>Cost of debt. (Pre tax)</t>
  </si>
  <si>
    <t>Cost of debt. (Post tax)</t>
  </si>
  <si>
    <t>Redemption Date</t>
  </si>
  <si>
    <t>Yield of McDonald Bond</t>
  </si>
  <si>
    <t>mac</t>
  </si>
  <si>
    <t>https://www.marketscreener.com/quote/stock/MCDONALD-S-CORPORATION-4833/</t>
  </si>
  <si>
    <t>https://www.marketscreener.com/quote/stock/YUM-BRANDS-INC-46353249/</t>
  </si>
  <si>
    <t>https://www.marketscreener.com/quote/stock/RESTAURANT-BRANDS-INTERNA-22033517/</t>
  </si>
  <si>
    <t>https://www.marketscreener.com/quote/stock/THE-WENDY-S-COMPANY-9691436/</t>
  </si>
  <si>
    <t>https://www.investing.com/equities/mcdonalds-historical-data</t>
  </si>
  <si>
    <t>https://www.investing.com/equities/restaurant-brands-intrnational</t>
  </si>
  <si>
    <t>https://www.investing.com/equities/the-wendys-co</t>
  </si>
  <si>
    <t>https://www.investing.com/equities/yum!-brands-inc</t>
  </si>
  <si>
    <t>https://www.investing.com/indices/nyse-composite</t>
  </si>
  <si>
    <t>nyse(nya)</t>
  </si>
  <si>
    <t>https://www.investing.com/rates-bonds/u.s.-10-year-bond-yield-historical-data</t>
  </si>
  <si>
    <t>Opening Balance</t>
  </si>
  <si>
    <t>(+) Net purchases</t>
  </si>
  <si>
    <t>Gross Balance</t>
  </si>
  <si>
    <t>(-) Accumulated depreciation</t>
  </si>
  <si>
    <t>End Balance</t>
  </si>
  <si>
    <t>depreciation &amp; amotization</t>
  </si>
  <si>
    <t>depreciation</t>
  </si>
  <si>
    <t>amortization</t>
  </si>
  <si>
    <t>Rate of depreciation</t>
  </si>
  <si>
    <t>Fixed Asset Turnover Rate (FATR)</t>
  </si>
  <si>
    <t>Growth rate %</t>
  </si>
  <si>
    <t>(+/-) Inorganic growth</t>
  </si>
  <si>
    <t>Organic growth %</t>
  </si>
  <si>
    <t xml:space="preserve">(+/-) Inorganic growth </t>
  </si>
  <si>
    <t>Other revenues</t>
  </si>
  <si>
    <t>Inorganic growth %</t>
  </si>
  <si>
    <t>Total revenue</t>
  </si>
  <si>
    <t>Re levered (Bottom up) β for McDonald's</t>
  </si>
  <si>
    <t>Dividend payout ratio</t>
  </si>
  <si>
    <t>Working</t>
  </si>
  <si>
    <t>EBIT margin %</t>
  </si>
  <si>
    <t>Effective tax rate %</t>
  </si>
  <si>
    <t>Dividend</t>
  </si>
  <si>
    <t>Details</t>
  </si>
  <si>
    <r>
      <t xml:space="preserve">International Operated Markets (IOM) — </t>
    </r>
    <r>
      <rPr>
        <i/>
        <sz val="12"/>
        <color rgb="FF222222"/>
        <rFont val="Arial"/>
        <family val="2"/>
        <charset val="204"/>
      </rPr>
      <t>Company-operated sales</t>
    </r>
  </si>
  <si>
    <r>
      <t xml:space="preserve">International Operated Markets (IOM) — </t>
    </r>
    <r>
      <rPr>
        <i/>
        <sz val="12"/>
        <color rgb="FF222222"/>
        <rFont val="Arial"/>
        <family val="2"/>
        <charset val="204"/>
      </rPr>
      <t>Franchised revenues</t>
    </r>
  </si>
  <si>
    <r>
      <t xml:space="preserve">U.S. — </t>
    </r>
    <r>
      <rPr>
        <i/>
        <sz val="12"/>
        <color rgb="FF222222"/>
        <rFont val="Arial"/>
        <family val="2"/>
        <charset val="204"/>
      </rPr>
      <t>Company-operated sales</t>
    </r>
  </si>
  <si>
    <r>
      <t xml:space="preserve">U.S. — </t>
    </r>
    <r>
      <rPr>
        <i/>
        <sz val="12"/>
        <color rgb="FF222222"/>
        <rFont val="Arial"/>
        <family val="2"/>
        <charset val="204"/>
      </rPr>
      <t>Franchised revenues</t>
    </r>
  </si>
  <si>
    <r>
      <t xml:space="preserve">International Developmental Licensed &amp; Corporate (IDL) — </t>
    </r>
    <r>
      <rPr>
        <i/>
        <sz val="12"/>
        <color rgb="FF222222"/>
        <rFont val="Arial"/>
        <family val="2"/>
        <charset val="204"/>
      </rPr>
      <t>Franchised revenues</t>
    </r>
  </si>
  <si>
    <r>
      <t xml:space="preserve">International Developmental Licensed &amp; Corporate (IDL) — </t>
    </r>
    <r>
      <rPr>
        <i/>
        <sz val="12"/>
        <color rgb="FF222222"/>
        <rFont val="Arial"/>
        <family val="2"/>
        <charset val="204"/>
      </rPr>
      <t>Company-operated sales</t>
    </r>
  </si>
  <si>
    <t>For example for 2025 year in revenues table (page 19) 8% was nominal growth. Also growth</t>
  </si>
  <si>
    <t>growth coming from foreign exchange rate translation.Which is cell F16 in our table.</t>
  </si>
  <si>
    <r>
      <rPr>
        <b/>
        <sz val="11"/>
        <color theme="1"/>
        <rFont val="Calibri"/>
        <family val="2"/>
        <scheme val="minor"/>
      </rPr>
      <t>Note: I</t>
    </r>
    <r>
      <rPr>
        <sz val="11"/>
        <color theme="1"/>
        <rFont val="Calibri"/>
        <family val="2"/>
        <scheme val="minor"/>
      </rPr>
      <t>norganic growth was brought as follows:</t>
    </r>
  </si>
  <si>
    <r>
      <rPr>
        <b/>
        <sz val="11"/>
        <color theme="1"/>
        <rFont val="Calibri"/>
        <family val="2"/>
        <scheme val="minor"/>
      </rPr>
      <t>excluding</t>
    </r>
    <r>
      <rPr>
        <sz val="11"/>
        <color theme="1"/>
        <rFont val="Calibri"/>
        <family val="2"/>
        <scheme val="minor"/>
      </rPr>
      <t xml:space="preserve"> currency translation was 5%. So, by subtracting 5% from 8% we get part of inorganic</t>
    </r>
  </si>
  <si>
    <t xml:space="preserve"> example, so we subtract it from growth rate to get organic growth</t>
  </si>
  <si>
    <t>Note inorganic growth is brought as +/- unlike our Coca-Cola</t>
  </si>
  <si>
    <t>Check out the note for TR cell above</t>
  </si>
  <si>
    <r>
      <t xml:space="preserve">Note </t>
    </r>
    <r>
      <rPr>
        <sz val="12"/>
        <color theme="1"/>
        <rFont val="Calibri"/>
        <family val="2"/>
        <charset val="204"/>
        <scheme val="minor"/>
      </rPr>
      <t>that here we are using lagged average growth of 2 and 3 years ago, this way we'll replicate cyclical drop observed in 2025</t>
    </r>
  </si>
  <si>
    <t>Selling, general and administrative expenses</t>
  </si>
  <si>
    <t>Interest expense</t>
  </si>
  <si>
    <t>Income taxes</t>
  </si>
  <si>
    <t>Diluted EPS</t>
  </si>
  <si>
    <t>Average Shares Outstanding — Diluted</t>
  </si>
  <si>
    <t>Dividend per share</t>
  </si>
  <si>
    <t>GP margin %</t>
  </si>
  <si>
    <t>SG&amp;A as % of sales</t>
  </si>
  <si>
    <t>Net profit margin</t>
  </si>
  <si>
    <t>Depreciation and amortization</t>
  </si>
  <si>
    <t>EBITDA margin</t>
  </si>
  <si>
    <t>Yield on cash</t>
  </si>
  <si>
    <t>Total Restaurant operaintg expenses</t>
  </si>
  <si>
    <t>Gross Profit</t>
  </si>
  <si>
    <t>Operating Income (EBIT)</t>
  </si>
  <si>
    <t>Current assets</t>
  </si>
  <si>
    <t>Trade accounts receivable,</t>
  </si>
  <si>
    <t>Receivable turnover ratio</t>
  </si>
  <si>
    <t>Receivable days</t>
  </si>
  <si>
    <t>Inventories</t>
  </si>
  <si>
    <t>Inventory turnover ratio</t>
  </si>
  <si>
    <t>Inventory days</t>
  </si>
  <si>
    <t>Prepaid expenses and other current assets</t>
  </si>
  <si>
    <t>Prepaid expenses and other current assets as % of (COGS &amp; SG&amp;A)</t>
  </si>
  <si>
    <t>Current liabilities</t>
  </si>
  <si>
    <t>Accounts payable and accrued expenses</t>
  </si>
  <si>
    <t>Accounts payable and accrued expenses as % of COGS</t>
  </si>
  <si>
    <t>Accrued income taxes</t>
  </si>
  <si>
    <t>Accrued income taxes as % of Income tax</t>
  </si>
  <si>
    <t>Total  long term debt/EBITDA</t>
  </si>
  <si>
    <t>(+/-) Extraordinary items (Charges)</t>
  </si>
  <si>
    <t>Normalized Income Before Income Taxes (PBT)</t>
  </si>
  <si>
    <t>Consolidated Net Income (Normalized)</t>
  </si>
  <si>
    <t>(+/-) Extraordinary items (Tax settlement)</t>
  </si>
  <si>
    <t>Supporting Variables:</t>
  </si>
  <si>
    <t>Total revenues</t>
  </si>
  <si>
    <t>Normalized income taxes</t>
  </si>
  <si>
    <t>EBITDA</t>
  </si>
  <si>
    <t>Other operating (income) expense net</t>
  </si>
  <si>
    <t>Cash flow form operations</t>
  </si>
  <si>
    <t>Net Income</t>
  </si>
  <si>
    <t>Interest expenses</t>
  </si>
  <si>
    <t>Cash generated from operations</t>
  </si>
  <si>
    <t>Cash generated from investments</t>
  </si>
  <si>
    <t>Cashflow from Financing activities</t>
  </si>
  <si>
    <t>Cash generated from financing activity</t>
  </si>
  <si>
    <t>Total cash generated during year</t>
  </si>
  <si>
    <t>(+) Opening balance of cash and cash equivalents</t>
  </si>
  <si>
    <t>Closing balance</t>
  </si>
  <si>
    <t>Opening balance</t>
  </si>
  <si>
    <t>(+) Loan taken</t>
  </si>
  <si>
    <t>(-) Loan repaid</t>
  </si>
  <si>
    <t>Average Interest rate</t>
  </si>
  <si>
    <t>Total Long term debt/EBITDA</t>
  </si>
  <si>
    <t>Lease right-of-use asset, net as % of revenue</t>
  </si>
  <si>
    <t>Accounts payable and accrued expenses growth rate</t>
  </si>
  <si>
    <t>Accrued income taxes growth rate</t>
  </si>
  <si>
    <t>Non operating interest (income) expense - NET</t>
  </si>
  <si>
    <t>Operating assets</t>
  </si>
  <si>
    <t xml:space="preserve">  Change in acc. &amp; notes receivable</t>
  </si>
  <si>
    <t xml:space="preserve">  Change in Inventories</t>
  </si>
  <si>
    <t xml:space="preserve">  Change in prepaid expenses and other CA</t>
  </si>
  <si>
    <t>Operating liabilities (Change)</t>
  </si>
  <si>
    <t xml:space="preserve">  Accounts payable</t>
  </si>
  <si>
    <t xml:space="preserve">  Income taxes (Current)</t>
  </si>
  <si>
    <t xml:space="preserve">  Other taxes</t>
  </si>
  <si>
    <t xml:space="preserve">  Accrued interest</t>
  </si>
  <si>
    <t xml:space="preserve">  Accrued payroll and other liabilities</t>
  </si>
  <si>
    <t xml:space="preserve">  Long-term income taxes</t>
  </si>
  <si>
    <t xml:space="preserve">  Deferred revenues - initial franchise fees</t>
  </si>
  <si>
    <t xml:space="preserve">  Other long-term liabilities</t>
  </si>
  <si>
    <t xml:space="preserve">  Deferred income taxes</t>
  </si>
  <si>
    <t xml:space="preserve">  Investments in and advances to affiliates</t>
  </si>
  <si>
    <t xml:space="preserve">  Purchase of Property plant and equipment (Capex)</t>
  </si>
  <si>
    <t xml:space="preserve">  Lease Right of use assets net</t>
  </si>
  <si>
    <t xml:space="preserve">  Goodwill</t>
  </si>
  <si>
    <t>Cashflow from Investing activities (Changes)</t>
  </si>
  <si>
    <t>Depreciation &amp; Ammortization</t>
  </si>
  <si>
    <t>Net borrowings of long term debt</t>
  </si>
  <si>
    <t>Change in Short-Term Borrowings and Current Long-Term Maturities</t>
  </si>
  <si>
    <t>Change in Current Lease Liability</t>
  </si>
  <si>
    <t>Change in Long-Term Lease Liability</t>
  </si>
  <si>
    <t>Preferred Stock Issuance / (Retirement)</t>
  </si>
  <si>
    <t>Common Stock Issuance / (Retirement)</t>
  </si>
  <si>
    <t>Change in Additional Paid-in Capital</t>
  </si>
  <si>
    <t>EBIT</t>
  </si>
  <si>
    <t>Tax Rate</t>
  </si>
  <si>
    <t>(-) Income taxes</t>
  </si>
  <si>
    <t>NOPAT</t>
  </si>
  <si>
    <t>(+) D&amp;A</t>
  </si>
  <si>
    <t>(+/-) Changes in WC</t>
  </si>
  <si>
    <t>(-) Capex</t>
  </si>
  <si>
    <t>FCFF</t>
  </si>
  <si>
    <t>FCFF growt rate</t>
  </si>
  <si>
    <t>longrun FCFF growth rate</t>
  </si>
  <si>
    <t>Terminal value</t>
  </si>
  <si>
    <t>Total Cash Flow</t>
  </si>
  <si>
    <t>WACC</t>
  </si>
  <si>
    <t>PV of cashflows</t>
  </si>
  <si>
    <t>Value of firm</t>
  </si>
  <si>
    <t>(-) Value of debt</t>
  </si>
  <si>
    <t>(+) Cash and cash equivalents</t>
  </si>
  <si>
    <t>(+) Investments</t>
  </si>
  <si>
    <t>Value of equity</t>
  </si>
  <si>
    <t># of shares outstanding</t>
  </si>
  <si>
    <t xml:space="preserve">
Fair Value per share</t>
  </si>
  <si>
    <t>Sensitivity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</si>
  <si>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</si>
  <si>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</si>
  <si>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</si>
  <si>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</si>
  <si>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</si>
  <si>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</si>
  <si>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</si>
  <si>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</si>
  <si>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</si>
  <si>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</si>
  <si>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</si>
  <si>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</si>
  <si>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</si>
  <si>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</si>
  <si>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</si>
  <si>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</si>
  <si>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</si>
  <si>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</si>
  <si>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</si>
  <si>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</si>
  <si>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</si>
  <si>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</si>
  <si>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</si>
  <si>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</si>
  <si>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</si>
  <si>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We took 2036 maturity bond</t>
  </si>
  <si>
    <r>
      <rPr>
        <b/>
        <sz val="11"/>
        <color theme="1"/>
        <rFont val="Calibri"/>
        <family val="2"/>
        <charset val="204"/>
        <scheme val="minor"/>
      </rPr>
      <t>Note</t>
    </r>
    <r>
      <rPr>
        <sz val="11"/>
        <color theme="1"/>
        <rFont val="Calibri"/>
        <family val="2"/>
        <scheme val="minor"/>
      </rPr>
      <t>: If links don't work by clicking then you can try copying them and pasting in google which will work (We had such cases for some reason)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</si>
</sst>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A&quot;\ 0"/>
    <numFmt numFmtId="165" formatCode="&quot;F&quot;\ 0"/>
    <numFmt numFmtId="166" formatCode="_-* #,##0_-;\-* #,##0_-;_-* &quot;-&quot;??_-;_-@_-"/>
    <numFmt numFmtId="167" formatCode="0.000%"/>
    <numFmt numFmtId="168" formatCode="0.000"/>
    <numFmt numFmtId="169" formatCode="_(* #,##0_);_(* \(#,##0\);_(* &quot;-&quot;??_);_(@_)"/>
    <numFmt numFmtId="170" formatCode="0.0%"/>
    <numFmt numFmtId="171" formatCode="_(* #,##0.0_);_(* \(#,##0.0\);_(* &quot;-&quot;??_);_(@_)"/>
    <numFmt numFmtId="172" formatCode="&quot;FY&quot;\ 0"/>
    <numFmt numFmtId="173" formatCode="&quot;$&quot;#,##0.00"/>
    <numFmt numFmtId="174" formatCode="&quot;$&quot;#,##0"/>
    <numFmt numFmtId="175" formatCode="0.000000%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sz val="11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8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</font>
    <font>
      <sz val="12"/>
      <color rgb="FF222222"/>
      <name val="Arial"/>
      <family val="2"/>
      <charset val="204"/>
    </font>
    <font>
      <sz val="14"/>
      <color theme="1"/>
      <name val="Calibri"/>
      <family val="2"/>
    </font>
    <font>
      <sz val="11"/>
      <color theme="1"/>
      <name val="Sylfaen"/>
      <family val="1"/>
    </font>
    <font>
      <i/>
      <sz val="14"/>
      <color theme="1"/>
      <name val="Calibri"/>
      <family val="2"/>
    </font>
    <font>
      <i/>
      <sz val="11"/>
      <color theme="1"/>
      <name val="Sylfaen"/>
      <family val="1"/>
    </font>
    <font>
      <i/>
      <sz val="11"/>
      <color theme="4"/>
      <name val="Sylfaen"/>
      <family val="1"/>
    </font>
    <font>
      <b/>
      <sz val="12"/>
      <color rgb="FF222222"/>
      <name val="Arial"/>
      <family val="2"/>
      <charset val="204"/>
    </font>
    <font>
      <b/>
      <sz val="11"/>
      <color theme="1"/>
      <name val="Sylfaen"/>
      <family val="1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8"/>
      <color rgb="FF000000"/>
      <name val="Calibri"/>
      <family val="2"/>
    </font>
    <font>
      <sz val="18"/>
      <name val="Calibri"/>
      <family val="2"/>
    </font>
    <font>
      <b/>
      <sz val="12"/>
      <color theme="1"/>
      <name val="Calibri"/>
      <family val="2"/>
      <charset val="204"/>
      <scheme val="minor"/>
    </font>
    <font>
      <b/>
      <sz val="12"/>
      <color rgb="FF1F1F1F"/>
      <name val="Arial"/>
      <family val="2"/>
      <charset val="204"/>
    </font>
    <font>
      <sz val="12"/>
      <color rgb="FF1F1F1F"/>
      <name val="Arial"/>
      <family val="2"/>
      <charset val="204"/>
    </font>
    <font>
      <sz val="11"/>
      <color rgb="FF548135"/>
      <name val="Calibri"/>
      <family val="2"/>
    </font>
    <font>
      <sz val="11"/>
      <color rgb="FF0070C0"/>
      <name val="Calibri"/>
      <family val="2"/>
    </font>
    <font>
      <sz val="11"/>
      <color theme="8" tint="-0.249977111117893"/>
      <name val="Calibri"/>
      <family val="2"/>
    </font>
    <font>
      <b/>
      <sz val="12"/>
      <color rgb="FFFF0000"/>
      <name val="Arial"/>
      <family val="2"/>
      <charset val="204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6"/>
      <color theme="1"/>
      <name val="Sylfaen"/>
      <family val="1"/>
    </font>
    <font>
      <sz val="16"/>
      <color theme="1"/>
      <name val="Sylfaen"/>
      <family val="1"/>
    </font>
    <font>
      <b/>
      <sz val="14"/>
      <color theme="1"/>
      <name val="Calibri"/>
      <family val="2"/>
      <scheme val="minor"/>
    </font>
    <font>
      <b/>
      <sz val="10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i/>
      <sz val="12"/>
      <color rgb="FF22222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i/>
      <sz val="14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i/>
      <sz val="14"/>
      <name val="Arial"/>
      <family val="2"/>
      <charset val="204"/>
    </font>
    <font>
      <sz val="14"/>
      <color rgb="FF0070C0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i/>
      <sz val="14"/>
      <color rgb="FF0070C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4"/>
      <color theme="4" tint="-0.249977111117893"/>
      <name val="Calibri"/>
      <family val="2"/>
      <charset val="204"/>
      <scheme val="minor"/>
    </font>
    <font>
      <sz val="14"/>
      <color rgb="FF1F1F1F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70C0"/>
      <name val="Calibri"/>
      <family val="2"/>
      <charset val="204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</font>
    <font>
      <b/>
      <sz val="11"/>
      <color theme="9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sz val="11"/>
      <color theme="4"/>
      <name val="Calibri"/>
      <family val="2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0"/>
      <name val="Calibri"/>
      <family val="2"/>
    </font>
    <font>
      <b/>
      <sz val="20"/>
      <color theme="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rgb="FFB4C6E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rgb="FFF7CAA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rgb="FFB4C6E7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/>
  </cellStyleXfs>
  <cellXfs count="303">
    <xf numFmtId="0" fontId="0" fillId="0" borderId="0" xfId="0"/>
    <xf numFmtId="15" fontId="0" fillId="0" borderId="0" xfId="0" applyNumberFormat="1"/>
    <xf numFmtId="3" fontId="0" fillId="0" borderId="0" xfId="0" applyNumberFormat="1"/>
    <xf numFmtId="0" fontId="3" fillId="0" borderId="0" xfId="0" applyFont="1"/>
    <xf numFmtId="3" fontId="7" fillId="0" borderId="0" xfId="0" applyNumberFormat="1" applyFont="1"/>
    <xf numFmtId="8" fontId="0" fillId="0" borderId="0" xfId="0" applyNumberFormat="1"/>
    <xf numFmtId="0" fontId="0" fillId="0" borderId="8" xfId="0" applyBorder="1"/>
    <xf numFmtId="0" fontId="3" fillId="0" borderId="8" xfId="0" applyFont="1" applyBorder="1"/>
    <xf numFmtId="0" fontId="0" fillId="0" borderId="9" xfId="0" applyBorder="1"/>
    <xf numFmtId="4" fontId="0" fillId="0" borderId="0" xfId="0" applyNumberFormat="1"/>
    <xf numFmtId="0" fontId="3" fillId="0" borderId="9" xfId="0" applyFont="1" applyBorder="1"/>
    <xf numFmtId="44" fontId="7" fillId="0" borderId="0" xfId="2" applyFont="1"/>
    <xf numFmtId="44" fontId="0" fillId="0" borderId="0" xfId="2" applyFont="1"/>
    <xf numFmtId="44" fontId="8" fillId="0" borderId="8" xfId="2" applyFont="1" applyBorder="1"/>
    <xf numFmtId="44" fontId="0" fillId="0" borderId="8" xfId="2" applyFont="1" applyBorder="1"/>
    <xf numFmtId="44" fontId="0" fillId="0" borderId="9" xfId="2" applyFont="1" applyBorder="1"/>
    <xf numFmtId="44" fontId="0" fillId="0" borderId="0" xfId="2" applyFont="1" applyBorder="1"/>
    <xf numFmtId="0" fontId="0" fillId="0" borderId="10" xfId="0" applyBorder="1"/>
    <xf numFmtId="0" fontId="0" fillId="0" borderId="11" xfId="0" applyBorder="1"/>
    <xf numFmtId="44" fontId="7" fillId="0" borderId="11" xfId="2" applyFont="1" applyBorder="1"/>
    <xf numFmtId="44" fontId="0" fillId="0" borderId="12" xfId="2" applyFont="1" applyBorder="1"/>
    <xf numFmtId="44" fontId="0" fillId="0" borderId="11" xfId="2" applyFont="1" applyBorder="1"/>
    <xf numFmtId="44" fontId="0" fillId="0" borderId="13" xfId="2" applyFont="1" applyBorder="1"/>
    <xf numFmtId="44" fontId="8" fillId="0" borderId="12" xfId="2" applyFont="1" applyBorder="1"/>
    <xf numFmtId="44" fontId="8" fillId="0" borderId="13" xfId="2" applyFont="1" applyBorder="1"/>
    <xf numFmtId="44" fontId="7" fillId="0" borderId="14" xfId="2" applyFont="1" applyBorder="1"/>
    <xf numFmtId="44" fontId="8" fillId="0" borderId="15" xfId="2" applyFont="1" applyBorder="1"/>
    <xf numFmtId="44" fontId="0" fillId="0" borderId="16" xfId="2" applyFont="1" applyBorder="1"/>
    <xf numFmtId="44" fontId="0" fillId="0" borderId="14" xfId="2" applyFont="1" applyBorder="1"/>
    <xf numFmtId="44" fontId="8" fillId="0" borderId="16" xfId="2" applyFont="1" applyBorder="1"/>
    <xf numFmtId="44" fontId="0" fillId="0" borderId="0" xfId="0" applyNumberFormat="1"/>
    <xf numFmtId="0" fontId="2" fillId="0" borderId="0" xfId="0" applyFont="1"/>
    <xf numFmtId="0" fontId="0" fillId="0" borderId="17" xfId="0" applyBorder="1"/>
    <xf numFmtId="0" fontId="0" fillId="0" borderId="18" xfId="0" applyBorder="1"/>
    <xf numFmtId="44" fontId="0" fillId="0" borderId="18" xfId="2" applyFont="1" applyBorder="1"/>
    <xf numFmtId="44" fontId="0" fillId="0" borderId="19" xfId="2" applyFont="1" applyBorder="1"/>
    <xf numFmtId="44" fontId="0" fillId="0" borderId="20" xfId="2" applyFont="1" applyBorder="1"/>
    <xf numFmtId="0" fontId="0" fillId="0" borderId="21" xfId="0" applyBorder="1"/>
    <xf numFmtId="44" fontId="7" fillId="0" borderId="0" xfId="2" applyFont="1" applyBorder="1"/>
    <xf numFmtId="0" fontId="9" fillId="0" borderId="0" xfId="0" applyFont="1"/>
    <xf numFmtId="0" fontId="1" fillId="0" borderId="0" xfId="0" applyFont="1"/>
    <xf numFmtId="0" fontId="10" fillId="0" borderId="0" xfId="0" applyFont="1"/>
    <xf numFmtId="15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166" fontId="11" fillId="0" borderId="0" xfId="1" applyNumberFormat="1" applyFont="1" applyAlignment="1">
      <alignment horizontal="center"/>
    </xf>
    <xf numFmtId="10" fontId="0" fillId="0" borderId="0" xfId="3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3" fontId="0" fillId="0" borderId="8" xfId="0" applyNumberFormat="1" applyBorder="1"/>
    <xf numFmtId="0" fontId="0" fillId="0" borderId="22" xfId="0" applyBorder="1"/>
    <xf numFmtId="0" fontId="10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/>
    </xf>
    <xf numFmtId="0" fontId="10" fillId="0" borderId="22" xfId="0" applyFont="1" applyBorder="1" applyAlignment="1">
      <alignment horizontal="right" vertical="center"/>
    </xf>
    <xf numFmtId="4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/>
    <xf numFmtId="0" fontId="0" fillId="0" borderId="23" xfId="0" applyBorder="1"/>
    <xf numFmtId="0" fontId="9" fillId="0" borderId="23" xfId="0" applyFont="1" applyBorder="1"/>
    <xf numFmtId="167" fontId="0" fillId="0" borderId="0" xfId="3" applyNumberFormat="1" applyFont="1"/>
    <xf numFmtId="168" fontId="0" fillId="0" borderId="0" xfId="0" applyNumberFormat="1"/>
    <xf numFmtId="9" fontId="0" fillId="2" borderId="0" xfId="0" applyNumberFormat="1" applyFill="1"/>
    <xf numFmtId="3" fontId="14" fillId="0" borderId="8" xfId="0" applyNumberFormat="1" applyFont="1" applyBorder="1"/>
    <xf numFmtId="0" fontId="15" fillId="0" borderId="0" xfId="4"/>
    <xf numFmtId="14" fontId="0" fillId="0" borderId="0" xfId="0" applyNumberFormat="1"/>
    <xf numFmtId="167" fontId="0" fillId="0" borderId="0" xfId="0" applyNumberFormat="1"/>
    <xf numFmtId="9" fontId="0" fillId="0" borderId="0" xfId="3" applyFont="1"/>
    <xf numFmtId="4" fontId="7" fillId="0" borderId="0" xfId="0" applyNumberFormat="1" applyFont="1"/>
    <xf numFmtId="0" fontId="7" fillId="0" borderId="0" xfId="0" applyFont="1"/>
    <xf numFmtId="3" fontId="0" fillId="0" borderId="11" xfId="0" applyNumberFormat="1" applyBorder="1"/>
    <xf numFmtId="3" fontId="7" fillId="0" borderId="11" xfId="0" applyNumberFormat="1" applyFont="1" applyBorder="1"/>
    <xf numFmtId="0" fontId="9" fillId="0" borderId="9" xfId="0" applyFont="1" applyBorder="1"/>
    <xf numFmtId="4" fontId="7" fillId="0" borderId="9" xfId="0" applyNumberFormat="1" applyFont="1" applyBorder="1"/>
    <xf numFmtId="3" fontId="7" fillId="0" borderId="9" xfId="0" applyNumberFormat="1" applyFont="1" applyBorder="1"/>
    <xf numFmtId="3" fontId="7" fillId="0" borderId="13" xfId="0" applyNumberFormat="1" applyFont="1" applyBorder="1"/>
    <xf numFmtId="0" fontId="0" fillId="0" borderId="28" xfId="0" applyBorder="1"/>
    <xf numFmtId="4" fontId="0" fillId="0" borderId="11" xfId="0" applyNumberFormat="1" applyBorder="1"/>
    <xf numFmtId="10" fontId="0" fillId="0" borderId="11" xfId="3" applyNumberFormat="1" applyFont="1" applyBorder="1"/>
    <xf numFmtId="0" fontId="18" fillId="0" borderId="0" xfId="0" applyFont="1"/>
    <xf numFmtId="0" fontId="24" fillId="0" borderId="17" xfId="0" applyFont="1" applyBorder="1"/>
    <xf numFmtId="0" fontId="0" fillId="3" borderId="0" xfId="0" applyFill="1" applyAlignment="1">
      <alignment wrapText="1"/>
    </xf>
    <xf numFmtId="0" fontId="28" fillId="4" borderId="0" xfId="5" applyFont="1" applyFill="1" applyAlignment="1">
      <alignment horizontal="center"/>
    </xf>
    <xf numFmtId="164" fontId="28" fillId="4" borderId="30" xfId="5" applyNumberFormat="1" applyFont="1" applyFill="1" applyBorder="1"/>
    <xf numFmtId="164" fontId="28" fillId="4" borderId="21" xfId="5" applyNumberFormat="1" applyFont="1" applyFill="1" applyBorder="1"/>
    <xf numFmtId="164" fontId="28" fillId="4" borderId="27" xfId="5" applyNumberFormat="1" applyFont="1" applyFill="1" applyBorder="1"/>
    <xf numFmtId="165" fontId="37" fillId="6" borderId="30" xfId="5" applyNumberFormat="1" applyFont="1" applyFill="1" applyBorder="1"/>
    <xf numFmtId="165" fontId="37" fillId="6" borderId="21" xfId="5" applyNumberFormat="1" applyFont="1" applyFill="1" applyBorder="1"/>
    <xf numFmtId="165" fontId="37" fillId="6" borderId="27" xfId="5" applyNumberFormat="1" applyFont="1" applyFill="1" applyBorder="1"/>
    <xf numFmtId="165" fontId="17" fillId="6" borderId="5" xfId="0" applyNumberFormat="1" applyFont="1" applyFill="1" applyBorder="1"/>
    <xf numFmtId="165" fontId="17" fillId="6" borderId="6" xfId="0" applyNumberFormat="1" applyFont="1" applyFill="1" applyBorder="1"/>
    <xf numFmtId="165" fontId="17" fillId="6" borderId="7" xfId="0" applyNumberFormat="1" applyFont="1" applyFill="1" applyBorder="1"/>
    <xf numFmtId="0" fontId="4" fillId="4" borderId="0" xfId="5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6" fillId="4" borderId="5" xfId="0" applyNumberFormat="1" applyFont="1" applyFill="1" applyBorder="1"/>
    <xf numFmtId="164" fontId="6" fillId="4" borderId="6" xfId="0" applyNumberFormat="1" applyFont="1" applyFill="1" applyBorder="1"/>
    <xf numFmtId="164" fontId="6" fillId="4" borderId="7" xfId="0" applyNumberFormat="1" applyFont="1" applyFill="1" applyBorder="1"/>
    <xf numFmtId="164" fontId="6" fillId="4" borderId="27" xfId="0" applyNumberFormat="1" applyFont="1" applyFill="1" applyBorder="1"/>
    <xf numFmtId="0" fontId="41" fillId="5" borderId="0" xfId="0" applyFont="1" applyFill="1" applyAlignment="1">
      <alignment horizontal="center"/>
    </xf>
    <xf numFmtId="0" fontId="0" fillId="8" borderId="0" xfId="0" applyFill="1"/>
    <xf numFmtId="0" fontId="44" fillId="3" borderId="0" xfId="0" applyFont="1" applyFill="1"/>
    <xf numFmtId="0" fontId="19" fillId="0" borderId="0" xfId="5" applyFont="1" applyAlignment="1">
      <alignment horizontal="center"/>
    </xf>
    <xf numFmtId="0" fontId="21" fillId="0" borderId="0" xfId="5" applyFont="1" applyAlignment="1">
      <alignment horizontal="center"/>
    </xf>
    <xf numFmtId="170" fontId="22" fillId="0" borderId="0" xfId="5" applyNumberFormat="1" applyFont="1"/>
    <xf numFmtId="169" fontId="20" fillId="0" borderId="0" xfId="5" applyNumberFormat="1" applyFont="1"/>
    <xf numFmtId="0" fontId="17" fillId="0" borderId="17" xfId="5" applyFont="1" applyBorder="1" applyAlignment="1">
      <alignment horizontal="center"/>
    </xf>
    <xf numFmtId="0" fontId="17" fillId="0" borderId="0" xfId="5" applyFont="1" applyAlignment="1">
      <alignment horizontal="center"/>
    </xf>
    <xf numFmtId="169" fontId="25" fillId="0" borderId="0" xfId="5" applyNumberFormat="1" applyFont="1"/>
    <xf numFmtId="0" fontId="31" fillId="0" borderId="0" xfId="0" applyFont="1" applyAlignment="1">
      <alignment horizontal="left" readingOrder="1"/>
    </xf>
    <xf numFmtId="0" fontId="9" fillId="0" borderId="0" xfId="5" applyFont="1" applyAlignment="1">
      <alignment horizontal="center"/>
    </xf>
    <xf numFmtId="0" fontId="47" fillId="0" borderId="0" xfId="5" applyFont="1" applyAlignment="1">
      <alignment horizontal="center"/>
    </xf>
    <xf numFmtId="0" fontId="43" fillId="0" borderId="0" xfId="0" applyFont="1"/>
    <xf numFmtId="15" fontId="43" fillId="0" borderId="0" xfId="0" applyNumberFormat="1" applyFont="1"/>
    <xf numFmtId="0" fontId="48" fillId="0" borderId="0" xfId="0" applyFont="1"/>
    <xf numFmtId="170" fontId="49" fillId="0" borderId="0" xfId="5" applyNumberFormat="1" applyFont="1"/>
    <xf numFmtId="8" fontId="48" fillId="0" borderId="0" xfId="0" applyNumberFormat="1" applyFont="1"/>
    <xf numFmtId="170" fontId="48" fillId="0" borderId="0" xfId="5" applyNumberFormat="1" applyFont="1"/>
    <xf numFmtId="170" fontId="50" fillId="0" borderId="0" xfId="5" applyNumberFormat="1" applyFont="1"/>
    <xf numFmtId="170" fontId="51" fillId="0" borderId="0" xfId="5" applyNumberFormat="1" applyFont="1"/>
    <xf numFmtId="6" fontId="48" fillId="0" borderId="0" xfId="0" applyNumberFormat="1" applyFont="1"/>
    <xf numFmtId="169" fontId="52" fillId="0" borderId="0" xfId="5" applyNumberFormat="1" applyFont="1"/>
    <xf numFmtId="6" fontId="52" fillId="0" borderId="0" xfId="0" applyNumberFormat="1" applyFont="1" applyAlignment="1">
      <alignment wrapText="1" readingOrder="1"/>
    </xf>
    <xf numFmtId="169" fontId="53" fillId="0" borderId="0" xfId="5" applyNumberFormat="1" applyFont="1"/>
    <xf numFmtId="170" fontId="53" fillId="0" borderId="0" xfId="5" applyNumberFormat="1" applyFont="1"/>
    <xf numFmtId="170" fontId="54" fillId="0" borderId="0" xfId="5" applyNumberFormat="1" applyFont="1"/>
    <xf numFmtId="169" fontId="55" fillId="0" borderId="0" xfId="5" applyNumberFormat="1" applyFont="1"/>
    <xf numFmtId="170" fontId="56" fillId="0" borderId="0" xfId="5" applyNumberFormat="1" applyFont="1"/>
    <xf numFmtId="6" fontId="57" fillId="0" borderId="0" xfId="0" applyNumberFormat="1" applyFont="1" applyAlignment="1">
      <alignment wrapText="1" readingOrder="1"/>
    </xf>
    <xf numFmtId="0" fontId="55" fillId="0" borderId="0" xfId="0" applyFont="1"/>
    <xf numFmtId="170" fontId="52" fillId="0" borderId="0" xfId="5" applyNumberFormat="1" applyFont="1"/>
    <xf numFmtId="170" fontId="55" fillId="0" borderId="0" xfId="0" applyNumberFormat="1" applyFont="1"/>
    <xf numFmtId="169" fontId="58" fillId="0" borderId="17" xfId="5" applyNumberFormat="1" applyFont="1" applyBorder="1"/>
    <xf numFmtId="169" fontId="58" fillId="0" borderId="0" xfId="5" applyNumberFormat="1" applyFont="1"/>
    <xf numFmtId="0" fontId="24" fillId="0" borderId="0" xfId="0" applyFont="1"/>
    <xf numFmtId="170" fontId="55" fillId="0" borderId="0" xfId="5" applyNumberFormat="1" applyFont="1"/>
    <xf numFmtId="170" fontId="23" fillId="0" borderId="0" xfId="5" applyNumberFormat="1" applyFont="1"/>
    <xf numFmtId="0" fontId="45" fillId="0" borderId="0" xfId="0" applyFont="1"/>
    <xf numFmtId="8" fontId="59" fillId="0" borderId="0" xfId="0" applyNumberFormat="1" applyFont="1"/>
    <xf numFmtId="169" fontId="59" fillId="0" borderId="0" xfId="5" applyNumberFormat="1" applyFont="1"/>
    <xf numFmtId="170" fontId="59" fillId="0" borderId="0" xfId="0" applyNumberFormat="1" applyFont="1"/>
    <xf numFmtId="169" fontId="60" fillId="0" borderId="17" xfId="5" applyNumberFormat="1" applyFont="1" applyBorder="1"/>
    <xf numFmtId="0" fontId="62" fillId="0" borderId="0" xfId="5" applyFont="1" applyAlignment="1">
      <alignment horizontal="center"/>
    </xf>
    <xf numFmtId="0" fontId="9" fillId="0" borderId="0" xfId="0" applyFont="1" applyAlignment="1">
      <alignment horizontal="left"/>
    </xf>
    <xf numFmtId="9" fontId="0" fillId="0" borderId="0" xfId="0" applyNumberFormat="1"/>
    <xf numFmtId="169" fontId="10" fillId="0" borderId="0" xfId="5" applyNumberFormat="1" applyFont="1"/>
    <xf numFmtId="164" fontId="6" fillId="4" borderId="30" xfId="5" applyNumberFormat="1" applyFont="1" applyFill="1" applyBorder="1"/>
    <xf numFmtId="164" fontId="6" fillId="4" borderId="21" xfId="5" applyNumberFormat="1" applyFont="1" applyFill="1" applyBorder="1"/>
    <xf numFmtId="164" fontId="6" fillId="4" borderId="27" xfId="5" applyNumberFormat="1" applyFont="1" applyFill="1" applyBorder="1"/>
    <xf numFmtId="165" fontId="17" fillId="6" borderId="30" xfId="5" applyNumberFormat="1" applyFont="1" applyFill="1" applyBorder="1"/>
    <xf numFmtId="165" fontId="17" fillId="6" borderId="21" xfId="5" applyNumberFormat="1" applyFont="1" applyFill="1" applyBorder="1"/>
    <xf numFmtId="165" fontId="17" fillId="6" borderId="27" xfId="5" applyNumberFormat="1" applyFont="1" applyFill="1" applyBorder="1"/>
    <xf numFmtId="169" fontId="9" fillId="0" borderId="0" xfId="5" applyNumberFormat="1" applyFont="1"/>
    <xf numFmtId="169" fontId="33" fillId="0" borderId="0" xfId="5" applyNumberFormat="1" applyFont="1"/>
    <xf numFmtId="0" fontId="10" fillId="0" borderId="31" xfId="5" applyFont="1" applyBorder="1" applyAlignment="1">
      <alignment horizontal="center"/>
    </xf>
    <xf numFmtId="169" fontId="34" fillId="0" borderId="31" xfId="5" applyNumberFormat="1" applyFont="1" applyBorder="1"/>
    <xf numFmtId="169" fontId="10" fillId="0" borderId="31" xfId="5" applyNumberFormat="1" applyFont="1" applyBorder="1"/>
    <xf numFmtId="0" fontId="9" fillId="0" borderId="25" xfId="0" applyFont="1" applyBorder="1"/>
    <xf numFmtId="0" fontId="10" fillId="0" borderId="0" xfId="5" applyFont="1" applyAlignment="1">
      <alignment horizontal="center"/>
    </xf>
    <xf numFmtId="169" fontId="63" fillId="0" borderId="0" xfId="5" applyNumberFormat="1" applyFont="1"/>
    <xf numFmtId="169" fontId="34" fillId="0" borderId="0" xfId="5" applyNumberFormat="1" applyFont="1"/>
    <xf numFmtId="169" fontId="64" fillId="0" borderId="0" xfId="5" applyNumberFormat="1" applyFont="1"/>
    <xf numFmtId="0" fontId="65" fillId="0" borderId="0" xfId="0" applyFont="1"/>
    <xf numFmtId="0" fontId="1" fillId="0" borderId="31" xfId="0" applyFont="1" applyBorder="1"/>
    <xf numFmtId="0" fontId="16" fillId="0" borderId="0" xfId="0" applyFont="1"/>
    <xf numFmtId="169" fontId="5" fillId="0" borderId="0" xfId="5" applyNumberFormat="1" applyFont="1"/>
    <xf numFmtId="0" fontId="16" fillId="0" borderId="18" xfId="0" applyFont="1" applyBorder="1"/>
    <xf numFmtId="0" fontId="10" fillId="0" borderId="18" xfId="5" applyFont="1" applyBorder="1" applyAlignment="1">
      <alignment horizontal="center"/>
    </xf>
    <xf numFmtId="169" fontId="34" fillId="0" borderId="18" xfId="5" applyNumberFormat="1" applyFont="1" applyBorder="1"/>
    <xf numFmtId="169" fontId="10" fillId="0" borderId="18" xfId="5" applyNumberFormat="1" applyFont="1" applyBorder="1"/>
    <xf numFmtId="171" fontId="9" fillId="0" borderId="0" xfId="5" applyNumberFormat="1" applyFont="1"/>
    <xf numFmtId="43" fontId="9" fillId="0" borderId="0" xfId="5" applyNumberFormat="1" applyFont="1"/>
    <xf numFmtId="171" fontId="10" fillId="0" borderId="0" xfId="5" applyNumberFormat="1" applyFont="1"/>
    <xf numFmtId="43" fontId="10" fillId="0" borderId="0" xfId="5" applyNumberFormat="1" applyFont="1"/>
    <xf numFmtId="43" fontId="34" fillId="0" borderId="0" xfId="5" applyNumberFormat="1" applyFont="1"/>
    <xf numFmtId="0" fontId="61" fillId="0" borderId="0" xfId="0" applyFont="1"/>
    <xf numFmtId="0" fontId="10" fillId="0" borderId="0" xfId="5" applyFont="1"/>
    <xf numFmtId="170" fontId="10" fillId="0" borderId="0" xfId="5" applyNumberFormat="1" applyFont="1"/>
    <xf numFmtId="170" fontId="35" fillId="0" borderId="0" xfId="5" applyNumberFormat="1" applyFont="1"/>
    <xf numFmtId="168" fontId="10" fillId="0" borderId="0" xfId="5" applyNumberFormat="1" applyFont="1"/>
    <xf numFmtId="2" fontId="10" fillId="0" borderId="0" xfId="5" applyNumberFormat="1" applyFont="1"/>
    <xf numFmtId="171" fontId="0" fillId="0" borderId="0" xfId="0" applyNumberFormat="1"/>
    <xf numFmtId="9" fontId="10" fillId="0" borderId="0" xfId="3" applyFont="1" applyAlignment="1"/>
    <xf numFmtId="0" fontId="32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 readingOrder="1"/>
    </xf>
    <xf numFmtId="0" fontId="36" fillId="0" borderId="0" xfId="0" applyFont="1" applyAlignment="1">
      <alignment horizontal="left" vertical="center" readingOrder="1"/>
    </xf>
    <xf numFmtId="170" fontId="10" fillId="0" borderId="0" xfId="3" applyNumberFormat="1" applyFont="1" applyAlignment="1"/>
    <xf numFmtId="0" fontId="9" fillId="0" borderId="0" xfId="0" applyFont="1" applyAlignment="1">
      <alignment horizontal="center"/>
    </xf>
    <xf numFmtId="169" fontId="9" fillId="0" borderId="0" xfId="0" applyNumberFormat="1" applyFont="1"/>
    <xf numFmtId="169" fontId="10" fillId="0" borderId="0" xfId="0" applyNumberFormat="1" applyFont="1"/>
    <xf numFmtId="169" fontId="66" fillId="0" borderId="0" xfId="0" applyNumberFormat="1" applyFont="1"/>
    <xf numFmtId="169" fontId="67" fillId="0" borderId="31" xfId="0" applyNumberFormat="1" applyFont="1" applyBorder="1"/>
    <xf numFmtId="169" fontId="5" fillId="0" borderId="31" xfId="0" applyNumberFormat="1" applyFont="1" applyBorder="1"/>
    <xf numFmtId="0" fontId="9" fillId="0" borderId="0" xfId="0" applyFont="1" applyAlignment="1">
      <alignment wrapText="1"/>
    </xf>
    <xf numFmtId="169" fontId="9" fillId="0" borderId="0" xfId="0" applyNumberFormat="1" applyFont="1" applyAlignment="1">
      <alignment vertical="center"/>
    </xf>
    <xf numFmtId="169" fontId="5" fillId="0" borderId="0" xfId="0" applyNumberFormat="1" applyFont="1"/>
    <xf numFmtId="169" fontId="66" fillId="0" borderId="31" xfId="0" applyNumberFormat="1" applyFont="1" applyBorder="1"/>
    <xf numFmtId="0" fontId="9" fillId="0" borderId="8" xfId="0" applyFont="1" applyBorder="1"/>
    <xf numFmtId="169" fontId="9" fillId="0" borderId="8" xfId="0" applyNumberFormat="1" applyFont="1" applyBorder="1"/>
    <xf numFmtId="169" fontId="68" fillId="0" borderId="0" xfId="0" applyNumberFormat="1" applyFont="1"/>
    <xf numFmtId="165" fontId="6" fillId="6" borderId="5" xfId="0" applyNumberFormat="1" applyFont="1" applyFill="1" applyBorder="1"/>
    <xf numFmtId="165" fontId="6" fillId="6" borderId="6" xfId="0" applyNumberFormat="1" applyFont="1" applyFill="1" applyBorder="1"/>
    <xf numFmtId="165" fontId="6" fillId="6" borderId="7" xfId="0" applyNumberFormat="1" applyFont="1" applyFill="1" applyBorder="1"/>
    <xf numFmtId="0" fontId="4" fillId="9" borderId="0" xfId="0" applyFont="1" applyFill="1" applyAlignment="1">
      <alignment horizontal="center"/>
    </xf>
    <xf numFmtId="172" fontId="9" fillId="0" borderId="0" xfId="0" applyNumberFormat="1" applyFont="1"/>
    <xf numFmtId="169" fontId="70" fillId="0" borderId="0" xfId="0" applyNumberFormat="1" applyFont="1"/>
    <xf numFmtId="0" fontId="9" fillId="0" borderId="25" xfId="0" applyFont="1" applyBorder="1" applyAlignment="1">
      <alignment horizontal="center"/>
    </xf>
    <xf numFmtId="169" fontId="9" fillId="0" borderId="25" xfId="0" applyNumberFormat="1" applyFont="1" applyBorder="1"/>
    <xf numFmtId="170" fontId="70" fillId="0" borderId="0" xfId="0" applyNumberFormat="1" applyFont="1"/>
    <xf numFmtId="170" fontId="10" fillId="0" borderId="0" xfId="0" applyNumberFormat="1" applyFont="1"/>
    <xf numFmtId="43" fontId="66" fillId="0" borderId="0" xfId="0" applyNumberFormat="1" applyFont="1"/>
    <xf numFmtId="9" fontId="66" fillId="0" borderId="0" xfId="3" applyFont="1"/>
    <xf numFmtId="2" fontId="0" fillId="0" borderId="0" xfId="3" applyNumberFormat="1" applyFont="1"/>
    <xf numFmtId="2" fontId="0" fillId="0" borderId="0" xfId="0" applyNumberFormat="1"/>
    <xf numFmtId="173" fontId="0" fillId="0" borderId="0" xfId="0" applyNumberFormat="1"/>
    <xf numFmtId="174" fontId="0" fillId="0" borderId="0" xfId="0" applyNumberFormat="1"/>
    <xf numFmtId="173" fontId="0" fillId="0" borderId="9" xfId="0" applyNumberFormat="1" applyBorder="1"/>
    <xf numFmtId="44" fontId="0" fillId="11" borderId="0" xfId="2" applyFont="1" applyFill="1"/>
    <xf numFmtId="44" fontId="7" fillId="0" borderId="0" xfId="2" applyFont="1" applyFill="1" applyBorder="1"/>
    <xf numFmtId="44" fontId="1" fillId="0" borderId="0" xfId="2" applyFont="1" applyBorder="1"/>
    <xf numFmtId="43" fontId="0" fillId="0" borderId="0" xfId="0" applyNumberFormat="1"/>
    <xf numFmtId="43" fontId="1" fillId="0" borderId="0" xfId="0" applyNumberFormat="1" applyFont="1"/>
    <xf numFmtId="0" fontId="71" fillId="0" borderId="0" xfId="0" applyFont="1"/>
    <xf numFmtId="44" fontId="10" fillId="3" borderId="0" xfId="2" applyFont="1" applyFill="1"/>
    <xf numFmtId="0" fontId="9" fillId="12" borderId="0" xfId="0" applyFont="1" applyFill="1" applyAlignment="1">
      <alignment horizontal="center"/>
    </xf>
    <xf numFmtId="0" fontId="72" fillId="0" borderId="0" xfId="0" applyFont="1" applyAlignment="1">
      <alignment vertical="center"/>
    </xf>
    <xf numFmtId="0" fontId="73" fillId="0" borderId="0" xfId="0" applyFont="1"/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172" fontId="9" fillId="13" borderId="35" xfId="0" applyNumberFormat="1" applyFont="1" applyFill="1" applyBorder="1"/>
    <xf numFmtId="172" fontId="9" fillId="13" borderId="36" xfId="0" applyNumberFormat="1" applyFont="1" applyFill="1" applyBorder="1"/>
    <xf numFmtId="172" fontId="9" fillId="13" borderId="37" xfId="0" applyNumberFormat="1" applyFont="1" applyFill="1" applyBorder="1"/>
    <xf numFmtId="10" fontId="74" fillId="0" borderId="0" xfId="3" applyNumberFormat="1" applyFont="1"/>
    <xf numFmtId="44" fontId="74" fillId="0" borderId="0" xfId="2" applyFont="1"/>
    <xf numFmtId="44" fontId="3" fillId="0" borderId="0" xfId="0" applyNumberFormat="1" applyFont="1"/>
    <xf numFmtId="44" fontId="75" fillId="0" borderId="0" xfId="0" applyNumberFormat="1" applyFont="1"/>
    <xf numFmtId="44" fontId="75" fillId="0" borderId="0" xfId="2" applyFont="1"/>
    <xf numFmtId="170" fontId="7" fillId="0" borderId="0" xfId="0" applyNumberFormat="1" applyFont="1"/>
    <xf numFmtId="10" fontId="1" fillId="0" borderId="0" xfId="3" applyNumberFormat="1" applyFont="1"/>
    <xf numFmtId="44" fontId="0" fillId="14" borderId="0" xfId="0" applyNumberFormat="1" applyFill="1"/>
    <xf numFmtId="0" fontId="75" fillId="0" borderId="0" xfId="0" applyFont="1"/>
    <xf numFmtId="170" fontId="7" fillId="0" borderId="0" xfId="3" applyNumberFormat="1" applyFont="1"/>
    <xf numFmtId="171" fontId="76" fillId="15" borderId="38" xfId="0" applyNumberFormat="1" applyFont="1" applyFill="1" applyBorder="1" applyAlignment="1">
      <alignment horizontal="center" vertical="center"/>
    </xf>
    <xf numFmtId="10" fontId="5" fillId="0" borderId="39" xfId="3" applyNumberFormat="1" applyFont="1" applyBorder="1"/>
    <xf numFmtId="170" fontId="5" fillId="0" borderId="40" xfId="3" applyNumberFormat="1" applyFont="1" applyBorder="1"/>
    <xf numFmtId="171" fontId="10" fillId="3" borderId="0" xfId="0" applyNumberFormat="1" applyFont="1" applyFill="1"/>
    <xf numFmtId="171" fontId="0" fillId="3" borderId="0" xfId="0" applyNumberFormat="1" applyFill="1"/>
    <xf numFmtId="171" fontId="0" fillId="3" borderId="41" xfId="0" applyNumberFormat="1" applyFill="1" applyBorder="1"/>
    <xf numFmtId="171" fontId="10" fillId="16" borderId="0" xfId="0" applyNumberFormat="1" applyFont="1" applyFill="1"/>
    <xf numFmtId="171" fontId="0" fillId="16" borderId="0" xfId="0" applyNumberFormat="1" applyFill="1"/>
    <xf numFmtId="171" fontId="77" fillId="17" borderId="0" xfId="0" applyNumberFormat="1" applyFont="1" applyFill="1"/>
    <xf numFmtId="171" fontId="10" fillId="3" borderId="18" xfId="0" applyNumberFormat="1" applyFont="1" applyFill="1" applyBorder="1"/>
    <xf numFmtId="171" fontId="0" fillId="3" borderId="18" xfId="0" applyNumberFormat="1" applyFill="1" applyBorder="1"/>
    <xf numFmtId="171" fontId="0" fillId="3" borderId="42" xfId="0" applyNumberFormat="1" applyFill="1" applyBorder="1"/>
    <xf numFmtId="175" fontId="0" fillId="0" borderId="0" xfId="3" applyNumberFormat="1" applyFont="1"/>
    <xf numFmtId="175" fontId="0" fillId="0" borderId="0" xfId="0" applyNumberFormat="1"/>
    <xf numFmtId="0" fontId="78" fillId="0" borderId="0" xfId="0" applyFont="1"/>
    <xf numFmtId="0" fontId="72" fillId="0" borderId="39" xfId="0" applyFont="1" applyBorder="1" applyAlignment="1">
      <alignment horizontal="center"/>
    </xf>
    <xf numFmtId="0" fontId="72" fillId="0" borderId="39" xfId="0" applyFont="1" applyBorder="1" applyAlignment="1">
      <alignment horizontal="centerContinuous"/>
    </xf>
    <xf numFmtId="0" fontId="71" fillId="0" borderId="39" xfId="0" applyFont="1" applyBorder="1" applyAlignment="1">
      <alignment horizontal="centerContinuous"/>
    </xf>
    <xf numFmtId="0" fontId="43" fillId="0" borderId="18" xfId="0" applyFont="1" applyBorder="1"/>
    <xf numFmtId="169" fontId="9" fillId="3" borderId="0" xfId="5" applyNumberFormat="1" applyFont="1" applyFill="1"/>
    <xf numFmtId="169" fontId="10" fillId="3" borderId="0" xfId="5" applyNumberFormat="1" applyFont="1" applyFill="1"/>
    <xf numFmtId="2" fontId="5" fillId="0" borderId="0" xfId="3" applyNumberFormat="1" applyFont="1" applyBorder="1"/>
    <xf numFmtId="0" fontId="4" fillId="4" borderId="0" xfId="0" applyFont="1" applyFill="1" applyAlignment="1">
      <alignment horizontal="center"/>
    </xf>
    <xf numFmtId="0" fontId="5" fillId="5" borderId="0" xfId="0" applyFont="1" applyFill="1"/>
    <xf numFmtId="0" fontId="4" fillId="4" borderId="24" xfId="0" applyFont="1" applyFill="1" applyBorder="1" applyAlignment="1">
      <alignment horizontal="center"/>
    </xf>
    <xf numFmtId="0" fontId="5" fillId="5" borderId="25" xfId="0" applyFont="1" applyFill="1" applyBorder="1"/>
    <xf numFmtId="0" fontId="5" fillId="5" borderId="26" xfId="0" applyFont="1" applyFill="1" applyBorder="1"/>
    <xf numFmtId="0" fontId="9" fillId="6" borderId="2" xfId="0" applyFont="1" applyFill="1" applyBorder="1" applyAlignment="1">
      <alignment horizontal="center"/>
    </xf>
    <xf numFmtId="0" fontId="10" fillId="7" borderId="2" xfId="0" applyFont="1" applyFill="1" applyBorder="1"/>
    <xf numFmtId="0" fontId="10" fillId="7" borderId="4" xfId="0" applyFont="1" applyFill="1" applyBorder="1"/>
    <xf numFmtId="0" fontId="28" fillId="4" borderId="0" xfId="5" applyFont="1" applyFill="1" applyAlignment="1">
      <alignment horizontal="center"/>
    </xf>
    <xf numFmtId="0" fontId="29" fillId="5" borderId="0" xfId="5" applyFont="1" applyFill="1"/>
    <xf numFmtId="0" fontId="28" fillId="4" borderId="1" xfId="5" applyFont="1" applyFill="1" applyBorder="1" applyAlignment="1">
      <alignment horizontal="center"/>
    </xf>
    <xf numFmtId="0" fontId="29" fillId="5" borderId="2" xfId="5" applyFont="1" applyFill="1" applyBorder="1"/>
    <xf numFmtId="0" fontId="37" fillId="6" borderId="29" xfId="5" applyFont="1" applyFill="1" applyBorder="1" applyAlignment="1">
      <alignment horizontal="center"/>
    </xf>
    <xf numFmtId="0" fontId="38" fillId="7" borderId="2" xfId="5" applyFont="1" applyFill="1" applyBorder="1"/>
    <xf numFmtId="0" fontId="38" fillId="7" borderId="4" xfId="5" applyFont="1" applyFill="1" applyBorder="1"/>
    <xf numFmtId="0" fontId="30" fillId="8" borderId="0" xfId="0" applyFont="1" applyFill="1" applyAlignment="1">
      <alignment horizontal="center" wrapText="1"/>
    </xf>
    <xf numFmtId="0" fontId="4" fillId="4" borderId="0" xfId="5" applyFont="1" applyFill="1" applyAlignment="1">
      <alignment horizontal="center"/>
    </xf>
    <xf numFmtId="0" fontId="4" fillId="4" borderId="1" xfId="5" applyFont="1" applyFill="1" applyBorder="1" applyAlignment="1">
      <alignment horizontal="center"/>
    </xf>
    <xf numFmtId="0" fontId="5" fillId="5" borderId="2" xfId="5" applyFont="1" applyFill="1" applyBorder="1"/>
    <xf numFmtId="0" fontId="9" fillId="6" borderId="1" xfId="5" applyFont="1" applyFill="1" applyBorder="1" applyAlignment="1">
      <alignment horizontal="center"/>
    </xf>
    <xf numFmtId="0" fontId="10" fillId="7" borderId="2" xfId="5" applyFont="1" applyFill="1" applyBorder="1"/>
    <xf numFmtId="0" fontId="10" fillId="7" borderId="4" xfId="5" applyFont="1" applyFill="1" applyBorder="1"/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/>
    <xf numFmtId="0" fontId="5" fillId="5" borderId="3" xfId="0" applyFont="1" applyFill="1" applyBorder="1"/>
    <xf numFmtId="0" fontId="4" fillId="9" borderId="0" xfId="0" applyFont="1" applyFill="1" applyAlignment="1">
      <alignment horizontal="center"/>
    </xf>
    <xf numFmtId="0" fontId="5" fillId="10" borderId="0" xfId="0" applyFont="1" applyFill="1"/>
    <xf numFmtId="0" fontId="4" fillId="6" borderId="1" xfId="0" applyFont="1" applyFill="1" applyBorder="1" applyAlignment="1">
      <alignment horizontal="center"/>
    </xf>
    <xf numFmtId="0" fontId="5" fillId="7" borderId="2" xfId="0" applyFont="1" applyFill="1" applyBorder="1"/>
    <xf numFmtId="0" fontId="5" fillId="7" borderId="4" xfId="0" applyFont="1" applyFill="1" applyBorder="1"/>
    <xf numFmtId="0" fontId="41" fillId="5" borderId="0" xfId="0" applyFont="1" applyFill="1" applyAlignment="1">
      <alignment horizontal="center"/>
    </xf>
    <xf numFmtId="0" fontId="39" fillId="4" borderId="0" xfId="0" applyFont="1" applyFill="1" applyAlignment="1">
      <alignment horizontal="center"/>
    </xf>
    <xf numFmtId="0" fontId="40" fillId="5" borderId="0" xfId="0" applyFont="1" applyFill="1"/>
    <xf numFmtId="0" fontId="0" fillId="0" borderId="23" xfId="0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5" fillId="0" borderId="0" xfId="0" applyFont="1"/>
    <xf numFmtId="0" fontId="9" fillId="13" borderId="32" xfId="0" applyFont="1" applyFill="1" applyBorder="1" applyAlignment="1">
      <alignment horizontal="center"/>
    </xf>
    <xf numFmtId="0" fontId="9" fillId="13" borderId="33" xfId="0" applyFont="1" applyFill="1" applyBorder="1" applyAlignment="1">
      <alignment horizontal="center"/>
    </xf>
    <xf numFmtId="0" fontId="9" fillId="13" borderId="34" xfId="0" applyFont="1" applyFill="1" applyBorder="1" applyAlignment="1">
      <alignment horizontal="center"/>
    </xf>
  </cellXfs>
  <cellStyles count="6">
    <cellStyle name="Comma" xfId="1" builtinId="3"/>
    <cellStyle name="Currency" xfId="2" builtinId="4"/>
    <cellStyle name="Hyperlink" xfId="4" builtinId="8"/>
    <cellStyle name="Normal" xfId="0" builtinId="0"/>
    <cellStyle name="Normal 2" xfId="5" xr:uid="{B5C4EA53-6056-4609-BD2B-02B5288A7888}"/>
    <cellStyle name="Percent" xfId="3" builtinId="5"/>
  </cellStyles>
  <dxfs count="0"/>
  <tableStyles count="0" defaultTableStyle="TableStyleMedium2" defaultPivotStyle="PivotStyleLight16"/>
  <colors>
    <mruColors>
      <color rgb="FF721F08"/>
      <color rgb="FF000000"/>
      <color rgb="FFC01818"/>
      <color rgb="FFCC0000"/>
      <color rgb="FFD2EC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 of Equity'!$F$49</c:f>
              <c:strCache>
                <c:ptCount val="1"/>
                <c:pt idx="0">
                  <c:v>returns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2253542694561081"/>
                  <c:y val="-0.3841375929787432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chemeClr val="bg1"/>
                        </a:solidFill>
                      </a:rPr>
                      <a:t>y = 0.5918x + 7E-05</a:t>
                    </a:r>
                    <a:br>
                      <a:rPr lang="en-US" sz="1400" b="1" baseline="0">
                        <a:solidFill>
                          <a:schemeClr val="bg1"/>
                        </a:solidFill>
                      </a:rPr>
                    </a:br>
                    <a:r>
                      <a:rPr lang="en-US" sz="1400" b="1" baseline="0">
                        <a:solidFill>
                          <a:schemeClr val="bg1"/>
                        </a:solidFill>
                      </a:rPr>
                      <a:t>R² = 0.2346</a:t>
                    </a:r>
                    <a:endParaRPr lang="en-US" sz="1400" b="1">
                      <a:solidFill>
                        <a:schemeClr val="bg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'Cost of Equity'!$C$50:$C$330</c:f>
              <c:numCache>
                <c:formatCode>0.000%</c:formatCode>
                <c:ptCount val="281"/>
                <c:pt idx="0">
                  <c:v>8.0639327310561004E-3</c:v>
                </c:pt>
                <c:pt idx="1">
                  <c:v>-4.0727587112959762E-3</c:v>
                </c:pt>
                <c:pt idx="2">
                  <c:v>1.4589469610646555E-2</c:v>
                </c:pt>
                <c:pt idx="3">
                  <c:v>-1.5327019345532378E-3</c:v>
                </c:pt>
                <c:pt idx="4">
                  <c:v>2.8588896830250565E-3</c:v>
                </c:pt>
                <c:pt idx="5">
                  <c:v>1.870224655034769E-2</c:v>
                </c:pt>
                <c:pt idx="6">
                  <c:v>-6.2243376833955866E-3</c:v>
                </c:pt>
                <c:pt idx="7">
                  <c:v>-4.2966512160824699E-3</c:v>
                </c:pt>
                <c:pt idx="8">
                  <c:v>4.6479990930734516E-3</c:v>
                </c:pt>
                <c:pt idx="9">
                  <c:v>-1.1341641628265009E-2</c:v>
                </c:pt>
                <c:pt idx="10">
                  <c:v>2.0374320965932835E-2</c:v>
                </c:pt>
                <c:pt idx="11">
                  <c:v>2.4358044327495332E-2</c:v>
                </c:pt>
                <c:pt idx="12">
                  <c:v>2.5951693054432123E-2</c:v>
                </c:pt>
                <c:pt idx="13">
                  <c:v>7.3091637483968519E-4</c:v>
                </c:pt>
                <c:pt idx="14">
                  <c:v>-1.9690806270945882E-2</c:v>
                </c:pt>
                <c:pt idx="15">
                  <c:v>-2.0747754028980991E-2</c:v>
                </c:pt>
                <c:pt idx="16">
                  <c:v>-4.1554583219831187E-2</c:v>
                </c:pt>
                <c:pt idx="17">
                  <c:v>1.7823183783463037E-3</c:v>
                </c:pt>
                <c:pt idx="18">
                  <c:v>5.423109735446463E-3</c:v>
                </c:pt>
                <c:pt idx="19">
                  <c:v>3.1523085391866879E-3</c:v>
                </c:pt>
                <c:pt idx="20">
                  <c:v>2.348223756893919E-2</c:v>
                </c:pt>
                <c:pt idx="21">
                  <c:v>-1.6654069920728487E-3</c:v>
                </c:pt>
                <c:pt idx="22">
                  <c:v>-2.1879151667681951E-3</c:v>
                </c:pt>
                <c:pt idx="23">
                  <c:v>9.5344750505714781E-3</c:v>
                </c:pt>
                <c:pt idx="24">
                  <c:v>1.609711340391673E-2</c:v>
                </c:pt>
                <c:pt idx="25">
                  <c:v>-5.7536882040398751E-4</c:v>
                </c:pt>
                <c:pt idx="26">
                  <c:v>1.471909651111325E-2</c:v>
                </c:pt>
                <c:pt idx="27">
                  <c:v>-3.6538312966101216E-3</c:v>
                </c:pt>
                <c:pt idx="28">
                  <c:v>8.9041315720699288E-3</c:v>
                </c:pt>
                <c:pt idx="29">
                  <c:v>-6.6896681283146187E-4</c:v>
                </c:pt>
                <c:pt idx="30">
                  <c:v>3.0585068706615592E-2</c:v>
                </c:pt>
                <c:pt idx="31">
                  <c:v>-1.3660731335845333E-2</c:v>
                </c:pt>
                <c:pt idx="32">
                  <c:v>2.8820193753913426E-3</c:v>
                </c:pt>
                <c:pt idx="33">
                  <c:v>-2.3765587429401824E-3</c:v>
                </c:pt>
                <c:pt idx="34">
                  <c:v>-1.099174582106266E-2</c:v>
                </c:pt>
                <c:pt idx="35">
                  <c:v>1.339006323734071E-2</c:v>
                </c:pt>
                <c:pt idx="36">
                  <c:v>1.4907403457379953E-2</c:v>
                </c:pt>
                <c:pt idx="37">
                  <c:v>-2.8929271728023398E-2</c:v>
                </c:pt>
                <c:pt idx="38">
                  <c:v>1.1542311721569165E-2</c:v>
                </c:pt>
                <c:pt idx="39">
                  <c:v>-7.6765609007167779E-4</c:v>
                </c:pt>
                <c:pt idx="40">
                  <c:v>5.6001833978189808E-3</c:v>
                </c:pt>
                <c:pt idx="41">
                  <c:v>1.1274602573807746E-2</c:v>
                </c:pt>
                <c:pt idx="42">
                  <c:v>-7.3280854785717775E-4</c:v>
                </c:pt>
                <c:pt idx="43">
                  <c:v>6.6193540456227495E-5</c:v>
                </c:pt>
                <c:pt idx="44">
                  <c:v>1.6699755320222831E-2</c:v>
                </c:pt>
                <c:pt idx="45">
                  <c:v>1.356934740452731E-2</c:v>
                </c:pt>
                <c:pt idx="46">
                  <c:v>1.2655604730679837E-2</c:v>
                </c:pt>
                <c:pt idx="47">
                  <c:v>-3.25864899954178E-2</c:v>
                </c:pt>
                <c:pt idx="48">
                  <c:v>1.9901078786462634E-2</c:v>
                </c:pt>
                <c:pt idx="49">
                  <c:v>-2.9687020931790098E-4</c:v>
                </c:pt>
                <c:pt idx="50">
                  <c:v>-8.5931544258845971E-3</c:v>
                </c:pt>
                <c:pt idx="51">
                  <c:v>1.9047712701097286E-2</c:v>
                </c:pt>
                <c:pt idx="52">
                  <c:v>2.3655654204666643E-2</c:v>
                </c:pt>
                <c:pt idx="53">
                  <c:v>-5.6403301119556382E-3</c:v>
                </c:pt>
                <c:pt idx="54">
                  <c:v>-3.2077184790526569E-3</c:v>
                </c:pt>
                <c:pt idx="55">
                  <c:v>1.3222939981196946E-2</c:v>
                </c:pt>
                <c:pt idx="56">
                  <c:v>1.2746483199213676E-2</c:v>
                </c:pt>
                <c:pt idx="57">
                  <c:v>-2.0031002152091082E-2</c:v>
                </c:pt>
                <c:pt idx="58">
                  <c:v>3.1828440101039357E-2</c:v>
                </c:pt>
                <c:pt idx="59">
                  <c:v>-3.4817684288713791E-3</c:v>
                </c:pt>
                <c:pt idx="60">
                  <c:v>2.5762177377538498E-2</c:v>
                </c:pt>
                <c:pt idx="61">
                  <c:v>2.9002945484044806E-2</c:v>
                </c:pt>
                <c:pt idx="62">
                  <c:v>8.090144184591308E-3</c:v>
                </c:pt>
                <c:pt idx="63">
                  <c:v>3.4117353251677418E-2</c:v>
                </c:pt>
                <c:pt idx="64">
                  <c:v>-8.5712209981162801E-2</c:v>
                </c:pt>
                <c:pt idx="65">
                  <c:v>-9.4580632559382316E-3</c:v>
                </c:pt>
                <c:pt idx="66">
                  <c:v>1.1595679959233163E-2</c:v>
                </c:pt>
                <c:pt idx="67">
                  <c:v>-1.7462742232962514E-2</c:v>
                </c:pt>
                <c:pt idx="68">
                  <c:v>-2.2722960625518152E-2</c:v>
                </c:pt>
                <c:pt idx="69">
                  <c:v>7.378718909539117E-3</c:v>
                </c:pt>
                <c:pt idx="70">
                  <c:v>-1.2369290380268794E-2</c:v>
                </c:pt>
                <c:pt idx="71">
                  <c:v>4.5410314628608894E-3</c:v>
                </c:pt>
                <c:pt idx="72">
                  <c:v>2.0351221073264814E-3</c:v>
                </c:pt>
                <c:pt idx="73">
                  <c:v>6.5008126015619894E-5</c:v>
                </c:pt>
                <c:pt idx="74">
                  <c:v>1.989554963942175E-2</c:v>
                </c:pt>
                <c:pt idx="75">
                  <c:v>3.398196487897498E-2</c:v>
                </c:pt>
                <c:pt idx="76">
                  <c:v>-1.5129088047864614E-2</c:v>
                </c:pt>
                <c:pt idx="77">
                  <c:v>8.2126984952046733E-4</c:v>
                </c:pt>
                <c:pt idx="78">
                  <c:v>6.2292749772481226E-3</c:v>
                </c:pt>
                <c:pt idx="79">
                  <c:v>-3.0918324936389352E-2</c:v>
                </c:pt>
                <c:pt idx="80">
                  <c:v>-1.8818567918916895E-2</c:v>
                </c:pt>
                <c:pt idx="81">
                  <c:v>-8.099842146803482E-3</c:v>
                </c:pt>
                <c:pt idx="82">
                  <c:v>7.3794320073545805E-3</c:v>
                </c:pt>
                <c:pt idx="83">
                  <c:v>2.4315629803825844E-2</c:v>
                </c:pt>
                <c:pt idx="84">
                  <c:v>-1.4610951442285969E-2</c:v>
                </c:pt>
                <c:pt idx="85">
                  <c:v>3.5505232814812882E-2</c:v>
                </c:pt>
                <c:pt idx="86">
                  <c:v>-1.0423359014817835E-2</c:v>
                </c:pt>
                <c:pt idx="87">
                  <c:v>-2.1549122948181565E-2</c:v>
                </c:pt>
                <c:pt idx="88">
                  <c:v>8.8071756158933923E-3</c:v>
                </c:pt>
                <c:pt idx="89">
                  <c:v>8.8286324064548172E-3</c:v>
                </c:pt>
                <c:pt idx="90">
                  <c:v>1.9229585871638477E-3</c:v>
                </c:pt>
                <c:pt idx="91">
                  <c:v>6.5810867309805676E-3</c:v>
                </c:pt>
                <c:pt idx="92">
                  <c:v>1.3189341840336821E-2</c:v>
                </c:pt>
                <c:pt idx="93">
                  <c:v>2.4561835922220832E-2</c:v>
                </c:pt>
                <c:pt idx="94">
                  <c:v>-3.2609033702740042E-2</c:v>
                </c:pt>
                <c:pt idx="95">
                  <c:v>1.0406682902558417E-2</c:v>
                </c:pt>
                <c:pt idx="96">
                  <c:v>1.8113662297774447E-2</c:v>
                </c:pt>
                <c:pt idx="97">
                  <c:v>2.6637908382237008E-2</c:v>
                </c:pt>
                <c:pt idx="98">
                  <c:v>5.7757002141800573E-3</c:v>
                </c:pt>
                <c:pt idx="99">
                  <c:v>-2.1665005790621916E-2</c:v>
                </c:pt>
                <c:pt idx="100">
                  <c:v>8.6058426282591416E-3</c:v>
                </c:pt>
                <c:pt idx="101">
                  <c:v>-5.3928747048239689E-3</c:v>
                </c:pt>
                <c:pt idx="102">
                  <c:v>2.248755449226203E-2</c:v>
                </c:pt>
                <c:pt idx="103">
                  <c:v>4.0163093223866131E-3</c:v>
                </c:pt>
                <c:pt idx="104">
                  <c:v>1.7115199742159248E-3</c:v>
                </c:pt>
                <c:pt idx="105">
                  <c:v>1.0012740426439626E-2</c:v>
                </c:pt>
                <c:pt idx="106">
                  <c:v>-9.3574859887910478E-3</c:v>
                </c:pt>
                <c:pt idx="107">
                  <c:v>-5.4247747971931659E-3</c:v>
                </c:pt>
                <c:pt idx="108">
                  <c:v>-1.4853179905689462E-3</c:v>
                </c:pt>
                <c:pt idx="109">
                  <c:v>-1.5101994202835534E-2</c:v>
                </c:pt>
                <c:pt idx="110">
                  <c:v>1.2454506912746854E-2</c:v>
                </c:pt>
                <c:pt idx="111">
                  <c:v>2.0463088341882818E-2</c:v>
                </c:pt>
                <c:pt idx="112">
                  <c:v>1.9478362691618401E-3</c:v>
                </c:pt>
                <c:pt idx="113">
                  <c:v>1.7441061241322497E-2</c:v>
                </c:pt>
                <c:pt idx="114">
                  <c:v>-1.0215998639378721E-2</c:v>
                </c:pt>
                <c:pt idx="115">
                  <c:v>-2.6668800317840358E-2</c:v>
                </c:pt>
                <c:pt idx="116">
                  <c:v>-1.0397156072015634E-2</c:v>
                </c:pt>
                <c:pt idx="117">
                  <c:v>1.1081051236749184E-2</c:v>
                </c:pt>
                <c:pt idx="118">
                  <c:v>1.4785887573467216E-2</c:v>
                </c:pt>
                <c:pt idx="119">
                  <c:v>-2.319783561398836E-3</c:v>
                </c:pt>
                <c:pt idx="120">
                  <c:v>9.0984471156285718E-3</c:v>
                </c:pt>
                <c:pt idx="121">
                  <c:v>6.3748864668482508E-3</c:v>
                </c:pt>
                <c:pt idx="122">
                  <c:v>1.1872964450035273E-2</c:v>
                </c:pt>
                <c:pt idx="123">
                  <c:v>7.7217395331066196E-3</c:v>
                </c:pt>
                <c:pt idx="124">
                  <c:v>1.0168401356566603E-2</c:v>
                </c:pt>
                <c:pt idx="125">
                  <c:v>9.0211279654968113E-3</c:v>
                </c:pt>
                <c:pt idx="126">
                  <c:v>1.3126513045817134E-2</c:v>
                </c:pt>
                <c:pt idx="127">
                  <c:v>-4.172718398056996E-3</c:v>
                </c:pt>
                <c:pt idx="128">
                  <c:v>2.4704323853395049E-3</c:v>
                </c:pt>
                <c:pt idx="129">
                  <c:v>-5.6192109369901377E-3</c:v>
                </c:pt>
                <c:pt idx="130">
                  <c:v>4.913389582898553E-3</c:v>
                </c:pt>
                <c:pt idx="131">
                  <c:v>9.6750111380028425E-3</c:v>
                </c:pt>
                <c:pt idx="132">
                  <c:v>2.4802872690926625E-2</c:v>
                </c:pt>
                <c:pt idx="133">
                  <c:v>-3.4432297495050612E-3</c:v>
                </c:pt>
                <c:pt idx="134">
                  <c:v>1.7517736708417164E-2</c:v>
                </c:pt>
                <c:pt idx="135">
                  <c:v>1.0769279413159527E-2</c:v>
                </c:pt>
                <c:pt idx="136">
                  <c:v>2.7624704322736671E-2</c:v>
                </c:pt>
                <c:pt idx="137">
                  <c:v>-5.6089743589744501E-3</c:v>
                </c:pt>
                <c:pt idx="138">
                  <c:v>5.4470625110726534E-2</c:v>
                </c:pt>
                <c:pt idx="139">
                  <c:v>-2.3780540533349326E-2</c:v>
                </c:pt>
                <c:pt idx="140">
                  <c:v>-1.895103662953479E-2</c:v>
                </c:pt>
                <c:pt idx="141">
                  <c:v>7.210464046273124E-3</c:v>
                </c:pt>
                <c:pt idx="142">
                  <c:v>-1.1962437167980733E-2</c:v>
                </c:pt>
                <c:pt idx="143">
                  <c:v>-1.1002280098911243E-2</c:v>
                </c:pt>
                <c:pt idx="144">
                  <c:v>-2.5304093603861433E-2</c:v>
                </c:pt>
                <c:pt idx="145">
                  <c:v>5.9638516279363341E-3</c:v>
                </c:pt>
                <c:pt idx="146">
                  <c:v>-1.3224126573782913E-2</c:v>
                </c:pt>
                <c:pt idx="147">
                  <c:v>2.0606460369508195E-2</c:v>
                </c:pt>
                <c:pt idx="148">
                  <c:v>1.0603039961396554E-3</c:v>
                </c:pt>
                <c:pt idx="149">
                  <c:v>-2.43567030489239E-2</c:v>
                </c:pt>
                <c:pt idx="150">
                  <c:v>4.4987586412876812E-3</c:v>
                </c:pt>
                <c:pt idx="151">
                  <c:v>-1.7857033727915472E-2</c:v>
                </c:pt>
                <c:pt idx="152">
                  <c:v>4.5551933501544184E-3</c:v>
                </c:pt>
                <c:pt idx="153">
                  <c:v>1.5517262877021487E-2</c:v>
                </c:pt>
                <c:pt idx="154">
                  <c:v>2.3520253196865681E-2</c:v>
                </c:pt>
                <c:pt idx="155">
                  <c:v>-1.2868561782324095E-2</c:v>
                </c:pt>
                <c:pt idx="156">
                  <c:v>2.6277683685210773E-2</c:v>
                </c:pt>
                <c:pt idx="157">
                  <c:v>-2.0620318959677419E-2</c:v>
                </c:pt>
                <c:pt idx="158">
                  <c:v>1.9045284163123677E-2</c:v>
                </c:pt>
                <c:pt idx="159">
                  <c:v>1.0081328363266584E-2</c:v>
                </c:pt>
                <c:pt idx="160">
                  <c:v>1.7673937408397178E-2</c:v>
                </c:pt>
                <c:pt idx="161">
                  <c:v>-1.6026833199558776E-2</c:v>
                </c:pt>
                <c:pt idx="162">
                  <c:v>5.1094028754328225E-3</c:v>
                </c:pt>
                <c:pt idx="163">
                  <c:v>-8.7446118237554105E-3</c:v>
                </c:pt>
                <c:pt idx="164">
                  <c:v>-1.0613730951569256E-2</c:v>
                </c:pt>
                <c:pt idx="165">
                  <c:v>-2.1182496838673126E-3</c:v>
                </c:pt>
                <c:pt idx="166">
                  <c:v>-1.467779358791943E-3</c:v>
                </c:pt>
                <c:pt idx="167">
                  <c:v>1.4480691327841022E-2</c:v>
                </c:pt>
                <c:pt idx="168">
                  <c:v>2.7317250843905683E-4</c:v>
                </c:pt>
                <c:pt idx="169">
                  <c:v>4.17587034000515E-2</c:v>
                </c:pt>
                <c:pt idx="170">
                  <c:v>1.0932255633947507E-2</c:v>
                </c:pt>
                <c:pt idx="171">
                  <c:v>-1.9819795625142689E-2</c:v>
                </c:pt>
                <c:pt idx="172">
                  <c:v>-5.2598100641812584E-2</c:v>
                </c:pt>
                <c:pt idx="173">
                  <c:v>1.6592841669630376E-2</c:v>
                </c:pt>
                <c:pt idx="174">
                  <c:v>-2.3718134872034446E-2</c:v>
                </c:pt>
                <c:pt idx="175">
                  <c:v>-4.4309804094100347E-3</c:v>
                </c:pt>
                <c:pt idx="176">
                  <c:v>-5.5439578984211035E-3</c:v>
                </c:pt>
                <c:pt idx="177">
                  <c:v>2.3053888464283911E-3</c:v>
                </c:pt>
                <c:pt idx="178">
                  <c:v>1.1731896688321974E-2</c:v>
                </c:pt>
                <c:pt idx="179">
                  <c:v>-8.8513920997085327E-3</c:v>
                </c:pt>
                <c:pt idx="180">
                  <c:v>2.4369839829597728E-2</c:v>
                </c:pt>
                <c:pt idx="181">
                  <c:v>2.3405754628135655E-2</c:v>
                </c:pt>
                <c:pt idx="182">
                  <c:v>-2.7652500246899692E-4</c:v>
                </c:pt>
                <c:pt idx="183">
                  <c:v>1.1339574649425366E-2</c:v>
                </c:pt>
                <c:pt idx="184">
                  <c:v>-1.7840559806422074E-2</c:v>
                </c:pt>
                <c:pt idx="185">
                  <c:v>-3.0189636582736101E-2</c:v>
                </c:pt>
                <c:pt idx="186">
                  <c:v>1.0335966986421585E-2</c:v>
                </c:pt>
                <c:pt idx="187">
                  <c:v>1.9327489581836499E-2</c:v>
                </c:pt>
                <c:pt idx="188">
                  <c:v>-2.7942967686466202E-3</c:v>
                </c:pt>
                <c:pt idx="189">
                  <c:v>4.4202464836629929E-2</c:v>
                </c:pt>
                <c:pt idx="190">
                  <c:v>-6.2721349590419972E-3</c:v>
                </c:pt>
                <c:pt idx="191">
                  <c:v>4.6069004524886825E-2</c:v>
                </c:pt>
                <c:pt idx="192">
                  <c:v>3.9442064186135495E-2</c:v>
                </c:pt>
                <c:pt idx="193">
                  <c:v>-1.3842284919156733E-2</c:v>
                </c:pt>
                <c:pt idx="194">
                  <c:v>2.4205400751176498E-2</c:v>
                </c:pt>
                <c:pt idx="195">
                  <c:v>-2.3541349568746761E-2</c:v>
                </c:pt>
                <c:pt idx="196">
                  <c:v>-5.3307625275320958E-2</c:v>
                </c:pt>
                <c:pt idx="197">
                  <c:v>-4.0610106116860223E-2</c:v>
                </c:pt>
                <c:pt idx="198">
                  <c:v>3.4126416828346828E-2</c:v>
                </c:pt>
                <c:pt idx="199">
                  <c:v>-3.2197493773965302E-2</c:v>
                </c:pt>
                <c:pt idx="200">
                  <c:v>-2.6308192682973686E-2</c:v>
                </c:pt>
                <c:pt idx="201">
                  <c:v>-1.3673407405532689E-2</c:v>
                </c:pt>
                <c:pt idx="202">
                  <c:v>3.4779875860985188E-2</c:v>
                </c:pt>
                <c:pt idx="203">
                  <c:v>-3.555654142500142E-3</c:v>
                </c:pt>
                <c:pt idx="204">
                  <c:v>3.6299591638045303E-2</c:v>
                </c:pt>
                <c:pt idx="205">
                  <c:v>2.3606026422693827E-2</c:v>
                </c:pt>
                <c:pt idx="206">
                  <c:v>-1.3153671212855822E-2</c:v>
                </c:pt>
                <c:pt idx="207">
                  <c:v>3.7576519457815927E-4</c:v>
                </c:pt>
                <c:pt idx="208">
                  <c:v>-1.1794889106437667E-2</c:v>
                </c:pt>
                <c:pt idx="209">
                  <c:v>5.0684542810527144E-2</c:v>
                </c:pt>
                <c:pt idx="210">
                  <c:v>-6.6219769883484547E-2</c:v>
                </c:pt>
                <c:pt idx="211">
                  <c:v>-4.4343301344542119E-2</c:v>
                </c:pt>
                <c:pt idx="212">
                  <c:v>-9.1202187848907768E-3</c:v>
                </c:pt>
                <c:pt idx="213">
                  <c:v>5.7131489954246995E-2</c:v>
                </c:pt>
                <c:pt idx="214">
                  <c:v>-1.1561602894333167E-2</c:v>
                </c:pt>
                <c:pt idx="215">
                  <c:v>-1.9863040098672791E-2</c:v>
                </c:pt>
                <c:pt idx="216">
                  <c:v>-3.1123520672166061E-3</c:v>
                </c:pt>
                <c:pt idx="217">
                  <c:v>-2.750842317010127E-2</c:v>
                </c:pt>
                <c:pt idx="218">
                  <c:v>-2.7532325954637726E-2</c:v>
                </c:pt>
                <c:pt idx="219">
                  <c:v>-1.0695026962252885E-2</c:v>
                </c:pt>
                <c:pt idx="220">
                  <c:v>-5.8256591095914301E-3</c:v>
                </c:pt>
                <c:pt idx="221">
                  <c:v>-2.9774665332760186E-4</c:v>
                </c:pt>
                <c:pt idx="222">
                  <c:v>1.0847188278776398E-2</c:v>
                </c:pt>
                <c:pt idx="223">
                  <c:v>5.4520525336904768E-2</c:v>
                </c:pt>
                <c:pt idx="224">
                  <c:v>-2.3311034923154228E-2</c:v>
                </c:pt>
                <c:pt idx="225">
                  <c:v>-1.815802288775259E-2</c:v>
                </c:pt>
                <c:pt idx="226">
                  <c:v>2.1778517962702804E-3</c:v>
                </c:pt>
                <c:pt idx="227">
                  <c:v>-1.6363636363636358E-2</c:v>
                </c:pt>
                <c:pt idx="228">
                  <c:v>-2.1914068113233487E-3</c:v>
                </c:pt>
                <c:pt idx="229">
                  <c:v>1.8520664231395312E-2</c:v>
                </c:pt>
                <c:pt idx="230">
                  <c:v>3.6591390045970229E-5</c:v>
                </c:pt>
                <c:pt idx="231">
                  <c:v>-4.7726071629759947E-2</c:v>
                </c:pt>
                <c:pt idx="232">
                  <c:v>3.0757938519074823E-3</c:v>
                </c:pt>
                <c:pt idx="233">
                  <c:v>1.2817450376090278E-4</c:v>
                </c:pt>
                <c:pt idx="234">
                  <c:v>1.1831354563353935E-2</c:v>
                </c:pt>
                <c:pt idx="235">
                  <c:v>1.7685948429982279E-2</c:v>
                </c:pt>
                <c:pt idx="236">
                  <c:v>-1.1152901534117188E-2</c:v>
                </c:pt>
                <c:pt idx="237">
                  <c:v>3.1117146544816121E-2</c:v>
                </c:pt>
                <c:pt idx="238">
                  <c:v>-1.6661754356417258E-2</c:v>
                </c:pt>
                <c:pt idx="239">
                  <c:v>-2.0566749145752294E-2</c:v>
                </c:pt>
                <c:pt idx="240">
                  <c:v>-1.8713470577013225E-2</c:v>
                </c:pt>
                <c:pt idx="241">
                  <c:v>3.2072101331601655E-3</c:v>
                </c:pt>
                <c:pt idx="242">
                  <c:v>1.3281305093909346E-2</c:v>
                </c:pt>
                <c:pt idx="243">
                  <c:v>-6.1791124972258027E-3</c:v>
                </c:pt>
                <c:pt idx="244">
                  <c:v>1.4847347925816656E-2</c:v>
                </c:pt>
                <c:pt idx="245">
                  <c:v>2.1462475480105603E-2</c:v>
                </c:pt>
                <c:pt idx="246">
                  <c:v>1.1853930175144134E-2</c:v>
                </c:pt>
                <c:pt idx="247">
                  <c:v>-1.3029650769081913E-2</c:v>
                </c:pt>
                <c:pt idx="248">
                  <c:v>4.7933512754931851E-3</c:v>
                </c:pt>
                <c:pt idx="249">
                  <c:v>-6.2305672110363197E-3</c:v>
                </c:pt>
                <c:pt idx="250">
                  <c:v>-2.0473456063679452E-2</c:v>
                </c:pt>
                <c:pt idx="251">
                  <c:v>3.8528210486323822E-3</c:v>
                </c:pt>
                <c:pt idx="252">
                  <c:v>1.9864742957128145E-2</c:v>
                </c:pt>
                <c:pt idx="253">
                  <c:v>-2.0832221767715264E-2</c:v>
                </c:pt>
                <c:pt idx="254">
                  <c:v>7.1649918498217779E-3</c:v>
                </c:pt>
                <c:pt idx="255">
                  <c:v>8.7819157586599417E-3</c:v>
                </c:pt>
                <c:pt idx="256">
                  <c:v>3.0146685676999407E-3</c:v>
                </c:pt>
                <c:pt idx="257">
                  <c:v>1.146981001790448E-2</c:v>
                </c:pt>
                <c:pt idx="258">
                  <c:v>-1.6148328954566971E-2</c:v>
                </c:pt>
                <c:pt idx="259">
                  <c:v>-2.488785472689381E-3</c:v>
                </c:pt>
                <c:pt idx="260">
                  <c:v>9.6045333397354327E-4</c:v>
                </c:pt>
                <c:pt idx="261">
                  <c:v>3.1888007928642104E-2</c:v>
                </c:pt>
                <c:pt idx="262">
                  <c:v>-3.2998101216539233E-2</c:v>
                </c:pt>
                <c:pt idx="263">
                  <c:v>-8.259170372320046E-4</c:v>
                </c:pt>
                <c:pt idx="264">
                  <c:v>9.2415301074555423E-3</c:v>
                </c:pt>
                <c:pt idx="265">
                  <c:v>1.1035114503816779E-2</c:v>
                </c:pt>
                <c:pt idx="266">
                  <c:v>-2.46110359784113E-3</c:v>
                </c:pt>
                <c:pt idx="267">
                  <c:v>-1.0548268878387446E-2</c:v>
                </c:pt>
                <c:pt idx="268">
                  <c:v>2.2880148958339896E-2</c:v>
                </c:pt>
                <c:pt idx="269">
                  <c:v>8.2068369739607405E-4</c:v>
                </c:pt>
                <c:pt idx="270">
                  <c:v>1.2170786405787393E-3</c:v>
                </c:pt>
                <c:pt idx="271">
                  <c:v>1.440801183224294E-2</c:v>
                </c:pt>
                <c:pt idx="272">
                  <c:v>1.2963268622795399E-2</c:v>
                </c:pt>
                <c:pt idx="273">
                  <c:v>4.4444444444444731E-3</c:v>
                </c:pt>
                <c:pt idx="274">
                  <c:v>7.7237940407266503E-3</c:v>
                </c:pt>
                <c:pt idx="275">
                  <c:v>-9.7294339238445104E-3</c:v>
                </c:pt>
                <c:pt idx="276">
                  <c:v>3.0383299020443566E-2</c:v>
                </c:pt>
                <c:pt idx="277">
                  <c:v>1.6075413876952771E-2</c:v>
                </c:pt>
                <c:pt idx="278">
                  <c:v>-2.2925657599250138E-2</c:v>
                </c:pt>
                <c:pt idx="279">
                  <c:v>-4.4893816364766082E-4</c:v>
                </c:pt>
                <c:pt idx="280">
                  <c:v>1.990762860328088E-2</c:v>
                </c:pt>
              </c:numCache>
            </c:numRef>
          </c:xVal>
          <c:yVal>
            <c:numRef>
              <c:f>'Cost of Equity'!$F$50:$F$330</c:f>
              <c:numCache>
                <c:formatCode>0.000%</c:formatCode>
                <c:ptCount val="281"/>
                <c:pt idx="0">
                  <c:v>-3.1764832561645417E-2</c:v>
                </c:pt>
                <c:pt idx="1">
                  <c:v>-2.1768898563954919E-2</c:v>
                </c:pt>
                <c:pt idx="2">
                  <c:v>1.7760148656375208E-2</c:v>
                </c:pt>
                <c:pt idx="3">
                  <c:v>2.2922636103150928E-3</c:v>
                </c:pt>
                <c:pt idx="4">
                  <c:v>-1.0876111524426912E-2</c:v>
                </c:pt>
                <c:pt idx="5">
                  <c:v>2.1274286334527215E-2</c:v>
                </c:pt>
                <c:pt idx="6">
                  <c:v>2.3209428830461842E-3</c:v>
                </c:pt>
                <c:pt idx="7">
                  <c:v>-3.7991906223834748E-2</c:v>
                </c:pt>
                <c:pt idx="8">
                  <c:v>-4.2490646712987745E-2</c:v>
                </c:pt>
                <c:pt idx="9">
                  <c:v>-3.8540596094552959E-2</c:v>
                </c:pt>
                <c:pt idx="10">
                  <c:v>1.8581523161476099E-2</c:v>
                </c:pt>
                <c:pt idx="11">
                  <c:v>-4.7535325910007531E-3</c:v>
                </c:pt>
                <c:pt idx="12">
                  <c:v>4.0536122915986184E-3</c:v>
                </c:pt>
                <c:pt idx="13">
                  <c:v>-9.5515622470456751E-3</c:v>
                </c:pt>
                <c:pt idx="14">
                  <c:v>-5.3942290020216777E-2</c:v>
                </c:pt>
                <c:pt idx="15">
                  <c:v>-4.8771566176919467E-3</c:v>
                </c:pt>
                <c:pt idx="16">
                  <c:v>-3.8116460446842249E-2</c:v>
                </c:pt>
                <c:pt idx="17">
                  <c:v>3.5932326944689175E-2</c:v>
                </c:pt>
                <c:pt idx="18">
                  <c:v>5.0369375419745399E-3</c:v>
                </c:pt>
                <c:pt idx="19">
                  <c:v>1.2837755226799974E-3</c:v>
                </c:pt>
                <c:pt idx="20">
                  <c:v>3.860317460317475E-2</c:v>
                </c:pt>
                <c:pt idx="21">
                  <c:v>1.8593371059013819E-2</c:v>
                </c:pt>
                <c:pt idx="22">
                  <c:v>5.9200468399309703E-3</c:v>
                </c:pt>
                <c:pt idx="23">
                  <c:v>3.579330990499674E-4</c:v>
                </c:pt>
                <c:pt idx="24">
                  <c:v>1.3387852008177825E-2</c:v>
                </c:pt>
                <c:pt idx="25">
                  <c:v>-2.3883095146131073E-2</c:v>
                </c:pt>
                <c:pt idx="26">
                  <c:v>-1.6337386018236977E-2</c:v>
                </c:pt>
                <c:pt idx="27">
                  <c:v>-2.778479413993562E-3</c:v>
                </c:pt>
                <c:pt idx="28">
                  <c:v>1.7639687690775396E-2</c:v>
                </c:pt>
                <c:pt idx="29">
                  <c:v>-1.8921172471296765E-3</c:v>
                </c:pt>
                <c:pt idx="30">
                  <c:v>7.9844835946338844E-3</c:v>
                </c:pt>
                <c:pt idx="31">
                  <c:v>7.5562648601115168E-3</c:v>
                </c:pt>
                <c:pt idx="32">
                  <c:v>2.4594540479209615E-2</c:v>
                </c:pt>
                <c:pt idx="33">
                  <c:v>4.1215695472975877E-3</c:v>
                </c:pt>
                <c:pt idx="34">
                  <c:v>-2.4068805389319547E-2</c:v>
                </c:pt>
                <c:pt idx="35">
                  <c:v>-7.4653510337886475E-3</c:v>
                </c:pt>
                <c:pt idx="36">
                  <c:v>3.7305141241035678E-2</c:v>
                </c:pt>
                <c:pt idx="37">
                  <c:v>-1.3190245199016681E-2</c:v>
                </c:pt>
                <c:pt idx="38">
                  <c:v>-1.3956231162363997E-2</c:v>
                </c:pt>
                <c:pt idx="39">
                  <c:v>9.4582975064487762E-3</c:v>
                </c:pt>
                <c:pt idx="40">
                  <c:v>-9.8886705959396748E-3</c:v>
                </c:pt>
                <c:pt idx="41">
                  <c:v>-2.8564158025319752E-2</c:v>
                </c:pt>
                <c:pt idx="42">
                  <c:v>2.6790840084198742E-3</c:v>
                </c:pt>
                <c:pt idx="43">
                  <c:v>-1.6875218900244127E-3</c:v>
                </c:pt>
                <c:pt idx="44">
                  <c:v>1.6638073349949822E-2</c:v>
                </c:pt>
                <c:pt idx="45">
                  <c:v>1.139302668194464E-2</c:v>
                </c:pt>
                <c:pt idx="46">
                  <c:v>8.4519132358282789E-3</c:v>
                </c:pt>
                <c:pt idx="47">
                  <c:v>1.4808858511743184E-2</c:v>
                </c:pt>
                <c:pt idx="48">
                  <c:v>4.7126939778503463E-3</c:v>
                </c:pt>
                <c:pt idx="49">
                  <c:v>-9.4695075189225042E-3</c:v>
                </c:pt>
                <c:pt idx="50">
                  <c:v>1.9824537540805265E-2</c:v>
                </c:pt>
                <c:pt idx="51">
                  <c:v>8.6777568170124386E-3</c:v>
                </c:pt>
                <c:pt idx="52">
                  <c:v>1.4228066513602089E-2</c:v>
                </c:pt>
                <c:pt idx="53">
                  <c:v>-4.7861945612931112E-2</c:v>
                </c:pt>
                <c:pt idx="54">
                  <c:v>-1.773165018219669E-2</c:v>
                </c:pt>
                <c:pt idx="55">
                  <c:v>-2.0678668153576552E-2</c:v>
                </c:pt>
                <c:pt idx="56">
                  <c:v>-2.2888387322376191E-3</c:v>
                </c:pt>
                <c:pt idx="57">
                  <c:v>-1.2680079093562724E-2</c:v>
                </c:pt>
                <c:pt idx="58">
                  <c:v>1.5716653914817691E-2</c:v>
                </c:pt>
                <c:pt idx="59">
                  <c:v>5.5135273753046388E-3</c:v>
                </c:pt>
                <c:pt idx="60">
                  <c:v>-1.5091242028162033E-2</c:v>
                </c:pt>
                <c:pt idx="61">
                  <c:v>1.7475104400899388E-2</c:v>
                </c:pt>
                <c:pt idx="62">
                  <c:v>4.5175863181672327E-3</c:v>
                </c:pt>
                <c:pt idx="63">
                  <c:v>3.2621372163539997E-2</c:v>
                </c:pt>
                <c:pt idx="64">
                  <c:v>-2.2729492982513144E-2</c:v>
                </c:pt>
                <c:pt idx="65">
                  <c:v>5.4020429544263671E-3</c:v>
                </c:pt>
                <c:pt idx="66">
                  <c:v>1.8710602674849142E-2</c:v>
                </c:pt>
                <c:pt idx="67">
                  <c:v>-6.6793239752248823E-2</c:v>
                </c:pt>
                <c:pt idx="68">
                  <c:v>4.2032886842020112E-2</c:v>
                </c:pt>
                <c:pt idx="69">
                  <c:v>1.1548177553229788E-2</c:v>
                </c:pt>
                <c:pt idx="70">
                  <c:v>-1.2121212121212199E-2</c:v>
                </c:pt>
                <c:pt idx="71">
                  <c:v>4.8419979612640107E-2</c:v>
                </c:pt>
                <c:pt idx="72">
                  <c:v>1.939729823346048E-2</c:v>
                </c:pt>
                <c:pt idx="73">
                  <c:v>1.1350101590415607E-2</c:v>
                </c:pt>
                <c:pt idx="74">
                  <c:v>1.6052678412528998E-2</c:v>
                </c:pt>
                <c:pt idx="75">
                  <c:v>-4.8173993128122206E-3</c:v>
                </c:pt>
                <c:pt idx="76">
                  <c:v>-4.2302734242485873E-2</c:v>
                </c:pt>
                <c:pt idx="77">
                  <c:v>3.9506845582724104E-3</c:v>
                </c:pt>
                <c:pt idx="78">
                  <c:v>3.2116987836545707E-3</c:v>
                </c:pt>
                <c:pt idx="79">
                  <c:v>-1.3216453135536099E-2</c:v>
                </c:pt>
                <c:pt idx="80">
                  <c:v>-7.9603986888755474E-3</c:v>
                </c:pt>
                <c:pt idx="81">
                  <c:v>1.0033444816053505E-2</c:v>
                </c:pt>
                <c:pt idx="82">
                  <c:v>1.9739561802397665E-2</c:v>
                </c:pt>
                <c:pt idx="83">
                  <c:v>-8.0306188702458092E-3</c:v>
                </c:pt>
                <c:pt idx="84">
                  <c:v>-2.1206141084389896E-2</c:v>
                </c:pt>
                <c:pt idx="85">
                  <c:v>1.2736695911385265E-2</c:v>
                </c:pt>
                <c:pt idx="86">
                  <c:v>8.8855473155393661E-3</c:v>
                </c:pt>
                <c:pt idx="87">
                  <c:v>-7.5657063431892824E-2</c:v>
                </c:pt>
                <c:pt idx="88">
                  <c:v>3.7765538945711885E-2</c:v>
                </c:pt>
                <c:pt idx="89">
                  <c:v>4.2138530418751596E-3</c:v>
                </c:pt>
                <c:pt idx="90">
                  <c:v>2.304982054068816E-4</c:v>
                </c:pt>
                <c:pt idx="91">
                  <c:v>2.3110871542633804E-2</c:v>
                </c:pt>
                <c:pt idx="92">
                  <c:v>1.0117020200317572E-3</c:v>
                </c:pt>
                <c:pt idx="93">
                  <c:v>2.424786708576554E-2</c:v>
                </c:pt>
                <c:pt idx="94">
                  <c:v>2.9446407538278319E-3</c:v>
                </c:pt>
                <c:pt idx="95">
                  <c:v>-2.9704338214975312E-3</c:v>
                </c:pt>
                <c:pt idx="96">
                  <c:v>3.9606449064598204E-2</c:v>
                </c:pt>
                <c:pt idx="97">
                  <c:v>3.9490873800903215E-2</c:v>
                </c:pt>
                <c:pt idx="98">
                  <c:v>-3.1732263544038353E-2</c:v>
                </c:pt>
                <c:pt idx="99">
                  <c:v>9.7976190476190439E-2</c:v>
                </c:pt>
                <c:pt idx="100">
                  <c:v>-2.0522388059701413E-2</c:v>
                </c:pt>
                <c:pt idx="101">
                  <c:v>1.3312327688066006E-2</c:v>
                </c:pt>
                <c:pt idx="102">
                  <c:v>1.1191206340356086E-2</c:v>
                </c:pt>
                <c:pt idx="103">
                  <c:v>-1.4715115366504494E-2</c:v>
                </c:pt>
                <c:pt idx="104">
                  <c:v>-1.7541154246501378E-2</c:v>
                </c:pt>
                <c:pt idx="105">
                  <c:v>2.2911901569524273E-2</c:v>
                </c:pt>
                <c:pt idx="106">
                  <c:v>-1.0265016978259878E-2</c:v>
                </c:pt>
                <c:pt idx="107">
                  <c:v>-1.0351886901773022E-2</c:v>
                </c:pt>
                <c:pt idx="108">
                  <c:v>3.0219673782494461E-3</c:v>
                </c:pt>
                <c:pt idx="109">
                  <c:v>-5.2390043321829727E-2</c:v>
                </c:pt>
                <c:pt idx="110">
                  <c:v>-9.5272727272727176E-3</c:v>
                </c:pt>
                <c:pt idx="111">
                  <c:v>1.731281444214261E-2</c:v>
                </c:pt>
                <c:pt idx="112">
                  <c:v>-1.0143176242264351E-2</c:v>
                </c:pt>
                <c:pt idx="113">
                  <c:v>4.0442663333208895E-3</c:v>
                </c:pt>
                <c:pt idx="114">
                  <c:v>1.7203335951232468E-2</c:v>
                </c:pt>
                <c:pt idx="115">
                  <c:v>2.6247703325958938E-3</c:v>
                </c:pt>
                <c:pt idx="116">
                  <c:v>-5.4123071466572026E-2</c:v>
                </c:pt>
                <c:pt idx="117">
                  <c:v>-2.4059724728443532E-3</c:v>
                </c:pt>
                <c:pt idx="118">
                  <c:v>1.2502686823816056E-2</c:v>
                </c:pt>
                <c:pt idx="119">
                  <c:v>-4.5838318236198994E-2</c:v>
                </c:pt>
                <c:pt idx="120">
                  <c:v>6.2601038764489303E-3</c:v>
                </c:pt>
                <c:pt idx="121">
                  <c:v>-2.3576826196473499E-2</c:v>
                </c:pt>
                <c:pt idx="122">
                  <c:v>1.9621943702486266E-2</c:v>
                </c:pt>
                <c:pt idx="123">
                  <c:v>8.8092030262201249E-3</c:v>
                </c:pt>
                <c:pt idx="124">
                  <c:v>-2.5517589631375182E-2</c:v>
                </c:pt>
                <c:pt idx="125">
                  <c:v>1.6389516184219577E-2</c:v>
                </c:pt>
                <c:pt idx="126">
                  <c:v>-2.7518051442451563E-2</c:v>
                </c:pt>
                <c:pt idx="127">
                  <c:v>2.4056973455548913E-2</c:v>
                </c:pt>
                <c:pt idx="128">
                  <c:v>1.5502266514412222E-2</c:v>
                </c:pt>
                <c:pt idx="129">
                  <c:v>-2.5361707868200023E-2</c:v>
                </c:pt>
                <c:pt idx="130">
                  <c:v>1.6489544052108229E-2</c:v>
                </c:pt>
                <c:pt idx="131">
                  <c:v>1.5421032478156516E-2</c:v>
                </c:pt>
                <c:pt idx="132">
                  <c:v>6.0939305852274472E-3</c:v>
                </c:pt>
                <c:pt idx="133">
                  <c:v>-1.5037068121416253E-3</c:v>
                </c:pt>
                <c:pt idx="134">
                  <c:v>1.2104480781482074E-2</c:v>
                </c:pt>
                <c:pt idx="135">
                  <c:v>2.4623753399818815E-2</c:v>
                </c:pt>
                <c:pt idx="136">
                  <c:v>2.9724784345942723E-2</c:v>
                </c:pt>
                <c:pt idx="137">
                  <c:v>-2.9865233135473179E-4</c:v>
                </c:pt>
                <c:pt idx="138">
                  <c:v>4.7349077259931205E-2</c:v>
                </c:pt>
                <c:pt idx="139">
                  <c:v>-9.1046453062648691E-3</c:v>
                </c:pt>
                <c:pt idx="140">
                  <c:v>3.946679553783583E-2</c:v>
                </c:pt>
                <c:pt idx="141">
                  <c:v>3.6258158085566983E-4</c:v>
                </c:pt>
                <c:pt idx="142">
                  <c:v>-5.7774066201032537E-2</c:v>
                </c:pt>
                <c:pt idx="143">
                  <c:v>-3.2253324516934967E-2</c:v>
                </c:pt>
                <c:pt idx="144">
                  <c:v>-2.160083384250433E-2</c:v>
                </c:pt>
                <c:pt idx="145">
                  <c:v>-3.5455912900221875E-3</c:v>
                </c:pt>
                <c:pt idx="146">
                  <c:v>-6.1223036947389842E-3</c:v>
                </c:pt>
                <c:pt idx="147">
                  <c:v>-1.2790779394194929E-2</c:v>
                </c:pt>
                <c:pt idx="148">
                  <c:v>1.0080215801802961E-2</c:v>
                </c:pt>
                <c:pt idx="149">
                  <c:v>-2.3837571893839615E-2</c:v>
                </c:pt>
                <c:pt idx="150">
                  <c:v>5.5745244233851299E-3</c:v>
                </c:pt>
                <c:pt idx="151">
                  <c:v>-2.3841104649185429E-2</c:v>
                </c:pt>
                <c:pt idx="152">
                  <c:v>-5.344880078481884E-3</c:v>
                </c:pt>
                <c:pt idx="153">
                  <c:v>2.2716484708755758E-3</c:v>
                </c:pt>
                <c:pt idx="154">
                  <c:v>9.7226977062649933E-3</c:v>
                </c:pt>
                <c:pt idx="155">
                  <c:v>-2.1145403974397681E-2</c:v>
                </c:pt>
                <c:pt idx="156">
                  <c:v>2.9319443965368563E-2</c:v>
                </c:pt>
                <c:pt idx="157">
                  <c:v>-1.2904324140279089E-2</c:v>
                </c:pt>
                <c:pt idx="158">
                  <c:v>2.4094285016911243E-2</c:v>
                </c:pt>
                <c:pt idx="159">
                  <c:v>-1.0761960608464682E-2</c:v>
                </c:pt>
                <c:pt idx="160">
                  <c:v>1.3529576283037414E-2</c:v>
                </c:pt>
                <c:pt idx="161">
                  <c:v>-3.2177296565724878E-2</c:v>
                </c:pt>
                <c:pt idx="162">
                  <c:v>-1.9923009387451396E-3</c:v>
                </c:pt>
                <c:pt idx="163">
                  <c:v>-1.5509103169252247E-3</c:v>
                </c:pt>
                <c:pt idx="164">
                  <c:v>2.8740490278953423E-3</c:v>
                </c:pt>
                <c:pt idx="165">
                  <c:v>1.2634390193795753E-2</c:v>
                </c:pt>
                <c:pt idx="166">
                  <c:v>1.0658177036473093E-2</c:v>
                </c:pt>
                <c:pt idx="167">
                  <c:v>2.1527802325992607E-2</c:v>
                </c:pt>
                <c:pt idx="168">
                  <c:v>1.1730624798826916E-2</c:v>
                </c:pt>
                <c:pt idx="169">
                  <c:v>3.0516345409648871E-2</c:v>
                </c:pt>
                <c:pt idx="170">
                  <c:v>1.5456586826347207E-2</c:v>
                </c:pt>
                <c:pt idx="171">
                  <c:v>1.973056520245775E-2</c:v>
                </c:pt>
                <c:pt idx="172">
                  <c:v>-2.6164195190842565E-2</c:v>
                </c:pt>
                <c:pt idx="173">
                  <c:v>2.0441444174757128E-2</c:v>
                </c:pt>
                <c:pt idx="174">
                  <c:v>-2.3371235971702653E-2</c:v>
                </c:pt>
                <c:pt idx="175">
                  <c:v>2.8846886670223171E-2</c:v>
                </c:pt>
                <c:pt idx="176">
                  <c:v>-6.8500927222495678E-3</c:v>
                </c:pt>
                <c:pt idx="177">
                  <c:v>-3.0206268810100467E-2</c:v>
                </c:pt>
                <c:pt idx="178">
                  <c:v>1.4446347456996023E-2</c:v>
                </c:pt>
                <c:pt idx="179">
                  <c:v>-1.1528877979842811E-3</c:v>
                </c:pt>
                <c:pt idx="180">
                  <c:v>-2.1523731769771404E-3</c:v>
                </c:pt>
                <c:pt idx="181">
                  <c:v>2.25401282586426E-2</c:v>
                </c:pt>
                <c:pt idx="182">
                  <c:v>-1.5098852636693305E-2</c:v>
                </c:pt>
                <c:pt idx="183">
                  <c:v>5.4486697730347089E-3</c:v>
                </c:pt>
                <c:pt idx="184">
                  <c:v>-2.1761505660932268E-2</c:v>
                </c:pt>
                <c:pt idx="185">
                  <c:v>-4.9743964886611591E-3</c:v>
                </c:pt>
                <c:pt idx="186">
                  <c:v>-5.8181818181819445E-3</c:v>
                </c:pt>
                <c:pt idx="187">
                  <c:v>5.9626147711893118E-3</c:v>
                </c:pt>
                <c:pt idx="188">
                  <c:v>7.2957736099341641E-3</c:v>
                </c:pt>
                <c:pt idx="189">
                  <c:v>-1.1761707086155426E-2</c:v>
                </c:pt>
                <c:pt idx="190">
                  <c:v>3.6427218417611762E-4</c:v>
                </c:pt>
                <c:pt idx="191">
                  <c:v>7.8452170496955187E-2</c:v>
                </c:pt>
                <c:pt idx="192">
                  <c:v>4.6841585787136042E-2</c:v>
                </c:pt>
                <c:pt idx="193">
                  <c:v>4.2754835112998046E-2</c:v>
                </c:pt>
                <c:pt idx="194">
                  <c:v>1.0618011614804468E-2</c:v>
                </c:pt>
                <c:pt idx="195">
                  <c:v>-6.1841837771904773E-2</c:v>
                </c:pt>
                <c:pt idx="196">
                  <c:v>-3.5149660664548277E-2</c:v>
                </c:pt>
                <c:pt idx="197">
                  <c:v>-1.7763563501849489E-2</c:v>
                </c:pt>
                <c:pt idx="198">
                  <c:v>1.968488468036611E-2</c:v>
                </c:pt>
                <c:pt idx="199">
                  <c:v>-9.4960108970616464E-3</c:v>
                </c:pt>
                <c:pt idx="200">
                  <c:v>-3.5979590305395215E-2</c:v>
                </c:pt>
                <c:pt idx="201">
                  <c:v>1.662979632313677E-2</c:v>
                </c:pt>
                <c:pt idx="202">
                  <c:v>1.1379855726574739E-2</c:v>
                </c:pt>
                <c:pt idx="203">
                  <c:v>-1.5719330219842731E-2</c:v>
                </c:pt>
                <c:pt idx="204">
                  <c:v>3.693058781841807E-2</c:v>
                </c:pt>
                <c:pt idx="205">
                  <c:v>-3.9998431434060677E-3</c:v>
                </c:pt>
                <c:pt idx="206">
                  <c:v>6.9894171536881711E-3</c:v>
                </c:pt>
                <c:pt idx="207">
                  <c:v>1.1068943706515899E-3</c:v>
                </c:pt>
                <c:pt idx="208">
                  <c:v>2.0411456232351854E-2</c:v>
                </c:pt>
                <c:pt idx="209">
                  <c:v>5.7684102739141707E-2</c:v>
                </c:pt>
                <c:pt idx="210">
                  <c:v>-1.2637964445193384E-2</c:v>
                </c:pt>
                <c:pt idx="211">
                  <c:v>-4.4210017716218464E-2</c:v>
                </c:pt>
                <c:pt idx="212">
                  <c:v>-1.3935760511374906E-2</c:v>
                </c:pt>
                <c:pt idx="213">
                  <c:v>7.6781668162968719E-2</c:v>
                </c:pt>
                <c:pt idx="214">
                  <c:v>-4.5421155729676754E-2</c:v>
                </c:pt>
                <c:pt idx="215">
                  <c:v>-2.2888587606667232E-2</c:v>
                </c:pt>
                <c:pt idx="216">
                  <c:v>6.5018462032429003E-3</c:v>
                </c:pt>
                <c:pt idx="217">
                  <c:v>-4.037254666826473E-3</c:v>
                </c:pt>
                <c:pt idx="218">
                  <c:v>-1.3572312482535986E-3</c:v>
                </c:pt>
                <c:pt idx="219">
                  <c:v>-3.7779368488030096E-3</c:v>
                </c:pt>
                <c:pt idx="220">
                  <c:v>8.8665997993981893E-3</c:v>
                </c:pt>
                <c:pt idx="221">
                  <c:v>3.1749316996440013E-2</c:v>
                </c:pt>
                <c:pt idx="222">
                  <c:v>1.1133433785367686E-2</c:v>
                </c:pt>
                <c:pt idx="223">
                  <c:v>5.3114118217481243E-2</c:v>
                </c:pt>
                <c:pt idx="224">
                  <c:v>-3.7911878207031124E-2</c:v>
                </c:pt>
                <c:pt idx="225">
                  <c:v>-5.468029665263574E-2</c:v>
                </c:pt>
                <c:pt idx="226">
                  <c:v>-4.5889864325618923E-3</c:v>
                </c:pt>
                <c:pt idx="227">
                  <c:v>-1.7871139677065329E-2</c:v>
                </c:pt>
                <c:pt idx="228">
                  <c:v>-1.8841805737137562E-2</c:v>
                </c:pt>
                <c:pt idx="229">
                  <c:v>1.5502362450701135E-2</c:v>
                </c:pt>
                <c:pt idx="230">
                  <c:v>5.891826073294304E-3</c:v>
                </c:pt>
                <c:pt idx="231">
                  <c:v>-1.2106631485002461E-2</c:v>
                </c:pt>
                <c:pt idx="232">
                  <c:v>-3.5010858983000159E-2</c:v>
                </c:pt>
                <c:pt idx="233">
                  <c:v>-3.7676726228224044E-3</c:v>
                </c:pt>
                <c:pt idx="234">
                  <c:v>7.9714231998495588E-3</c:v>
                </c:pt>
                <c:pt idx="235">
                  <c:v>1.6239969430645873E-2</c:v>
                </c:pt>
                <c:pt idx="236">
                  <c:v>-1.2341019738083658E-2</c:v>
                </c:pt>
                <c:pt idx="237">
                  <c:v>6.2728111338386849E-2</c:v>
                </c:pt>
                <c:pt idx="238">
                  <c:v>-2.7198912043517876E-3</c:v>
                </c:pt>
                <c:pt idx="239">
                  <c:v>-7.6999404643778302E-3</c:v>
                </c:pt>
                <c:pt idx="240">
                  <c:v>5.1063150755974451E-3</c:v>
                </c:pt>
                <c:pt idx="241">
                  <c:v>-1.5861175454438436E-2</c:v>
                </c:pt>
                <c:pt idx="242">
                  <c:v>3.7304011402972792E-2</c:v>
                </c:pt>
                <c:pt idx="243">
                  <c:v>2.9818822345244245E-2</c:v>
                </c:pt>
                <c:pt idx="244">
                  <c:v>-1.5727554179566616E-2</c:v>
                </c:pt>
                <c:pt idx="245">
                  <c:v>-2.2002422285022138E-2</c:v>
                </c:pt>
                <c:pt idx="246">
                  <c:v>1.9635285884822773E-2</c:v>
                </c:pt>
                <c:pt idx="247">
                  <c:v>-1.4162811460108671E-2</c:v>
                </c:pt>
                <c:pt idx="248">
                  <c:v>1.6206853890881945E-2</c:v>
                </c:pt>
                <c:pt idx="249">
                  <c:v>1.3838949744962026E-2</c:v>
                </c:pt>
                <c:pt idx="250">
                  <c:v>1.5074114395778881E-3</c:v>
                </c:pt>
                <c:pt idx="251">
                  <c:v>5.6425804278255054E-3</c:v>
                </c:pt>
                <c:pt idx="252">
                  <c:v>-4.2349784058032247E-3</c:v>
                </c:pt>
                <c:pt idx="253">
                  <c:v>-1.3817938196130086E-3</c:v>
                </c:pt>
                <c:pt idx="254">
                  <c:v>1.0835520189621528E-2</c:v>
                </c:pt>
                <c:pt idx="255">
                  <c:v>-2.6574924807383327E-2</c:v>
                </c:pt>
                <c:pt idx="256">
                  <c:v>-1.028975963121459E-3</c:v>
                </c:pt>
                <c:pt idx="257">
                  <c:v>3.4973375931842465E-2</c:v>
                </c:pt>
                <c:pt idx="258">
                  <c:v>-3.946028513238331E-3</c:v>
                </c:pt>
                <c:pt idx="259">
                  <c:v>8.7745580618927566E-3</c:v>
                </c:pt>
                <c:pt idx="260">
                  <c:v>5.2060924188968016E-3</c:v>
                </c:pt>
                <c:pt idx="261">
                  <c:v>1.2194059750892716E-2</c:v>
                </c:pt>
                <c:pt idx="262">
                  <c:v>-3.0852994555353952E-2</c:v>
                </c:pt>
                <c:pt idx="263">
                  <c:v>1.5211243465592661E-2</c:v>
                </c:pt>
                <c:pt idx="264">
                  <c:v>-2.1805122065927662E-3</c:v>
                </c:pt>
                <c:pt idx="265">
                  <c:v>1.1459955025082014E-2</c:v>
                </c:pt>
                <c:pt idx="266">
                  <c:v>-2.0714655618849775E-3</c:v>
                </c:pt>
                <c:pt idx="267">
                  <c:v>-1.3285641287685279E-2</c:v>
                </c:pt>
                <c:pt idx="268">
                  <c:v>-5.252456794307081E-3</c:v>
                </c:pt>
                <c:pt idx="269">
                  <c:v>6.3944070253219021E-3</c:v>
                </c:pt>
                <c:pt idx="270">
                  <c:v>6.4355586064870351E-3</c:v>
                </c:pt>
                <c:pt idx="271">
                  <c:v>6.912044237083137E-3</c:v>
                </c:pt>
                <c:pt idx="272">
                  <c:v>2.7840682030105146E-2</c:v>
                </c:pt>
                <c:pt idx="273">
                  <c:v>0</c:v>
                </c:pt>
                <c:pt idx="274">
                  <c:v>1.2452796259665666E-2</c:v>
                </c:pt>
                <c:pt idx="275">
                  <c:v>4.7565225581614357E-2</c:v>
                </c:pt>
                <c:pt idx="276">
                  <c:v>2.3966822587645265E-2</c:v>
                </c:pt>
                <c:pt idx="277">
                  <c:v>5.9668186669254997E-3</c:v>
                </c:pt>
                <c:pt idx="278">
                  <c:v>-2.8741047870335601E-2</c:v>
                </c:pt>
                <c:pt idx="279">
                  <c:v>-7.760635811126626E-3</c:v>
                </c:pt>
                <c:pt idx="280">
                  <c:v>6.2094270392323292E-3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B-40F4-AD09-5D9385793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664991"/>
        <c:axId val="460774159"/>
      </c:scatterChart>
      <c:valAx>
        <c:axId val="64066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774159"/>
        <c:crosses val="autoZero"/>
        <c:crossBetween val="midCat"/>
      </c:valAx>
      <c:valAx>
        <c:axId val="4607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066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38100</xdr:rowOff>
    </xdr:from>
    <xdr:to>
      <xdr:col>19</xdr:col>
      <xdr:colOff>510540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F9C40-1775-4D95-92D6-57E6E1574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adingview.com/symbols/FINRA-MCD6153327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vesting.com/equities/yum!-brands-inc" TargetMode="External"/><Relationship Id="rId3" Type="http://schemas.openxmlformats.org/officeDocument/2006/relationships/hyperlink" Target="https://www.marketscreener.com/quote/stock/RESTAURANT-BRANDS-INTERNA-22033517/" TargetMode="External"/><Relationship Id="rId7" Type="http://schemas.openxmlformats.org/officeDocument/2006/relationships/hyperlink" Target="https://www.investing.com/equities/the-wendys-co" TargetMode="External"/><Relationship Id="rId2" Type="http://schemas.openxmlformats.org/officeDocument/2006/relationships/hyperlink" Target="https://www.marketscreener.com/quote/stock/YUM-BRANDS-INC-46353249/" TargetMode="External"/><Relationship Id="rId1" Type="http://schemas.openxmlformats.org/officeDocument/2006/relationships/hyperlink" Target="https://www.marketscreener.com/quote/stock/MCDONALD-S-CORPORATION-4833/" TargetMode="External"/><Relationship Id="rId6" Type="http://schemas.openxmlformats.org/officeDocument/2006/relationships/hyperlink" Target="https://www.investing.com/equities/restaurant-brands-intrnational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investing.com/equities/mcdonalds-historical-data" TargetMode="External"/><Relationship Id="rId10" Type="http://schemas.openxmlformats.org/officeDocument/2006/relationships/hyperlink" Target="https://www.investing.com/rates-bonds/u.s.-10-year-bond-yield-historical-data" TargetMode="External"/><Relationship Id="rId4" Type="http://schemas.openxmlformats.org/officeDocument/2006/relationships/hyperlink" Target="https://www.marketscreener.com/quote/stock/THE-WENDY-S-COMPANY-9691436/" TargetMode="External"/><Relationship Id="rId9" Type="http://schemas.openxmlformats.org/officeDocument/2006/relationships/hyperlink" Target="https://www.investing.com/indices/nyse-composit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B607-32C1-411A-BE2A-BDD7A8223917}">
  <sheetPr>
    <tabColor theme="9" tint="0.59999389629810485"/>
  </sheetPr>
  <dimension ref="A1:U44"/>
  <sheetViews>
    <sheetView showGridLines="0" tabSelected="1" zoomScale="71" zoomScaleNormal="79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4" sqref="M4"/>
    </sheetView>
  </sheetViews>
  <sheetFormatPr defaultRowHeight="14.4" x14ac:dyDescent="0.3"/>
  <cols>
    <col min="1" max="1" width="87" bestFit="1" customWidth="1"/>
    <col min="2" max="2" width="7.33203125" bestFit="1" customWidth="1"/>
    <col min="3" max="6" width="11.109375" bestFit="1" customWidth="1"/>
    <col min="7" max="11" width="13.6640625" bestFit="1" customWidth="1"/>
    <col min="12" max="12" width="3" bestFit="1" customWidth="1"/>
  </cols>
  <sheetData>
    <row r="1" spans="1:21" ht="24" thickBot="1" x14ac:dyDescent="0.5">
      <c r="A1" s="271" t="s">
        <v>0</v>
      </c>
      <c r="B1" s="82"/>
      <c r="C1" s="273" t="s">
        <v>1</v>
      </c>
      <c r="D1" s="274"/>
      <c r="E1" s="274"/>
      <c r="F1" s="274"/>
      <c r="G1" s="275" t="s">
        <v>2</v>
      </c>
      <c r="H1" s="276"/>
      <c r="I1" s="276"/>
      <c r="J1" s="276"/>
      <c r="K1" s="277"/>
    </row>
    <row r="2" spans="1:21" ht="23.4" x14ac:dyDescent="0.45">
      <c r="A2" s="272"/>
      <c r="B2" s="82" t="s">
        <v>3</v>
      </c>
      <c r="C2" s="83">
        <v>2022</v>
      </c>
      <c r="D2" s="84">
        <v>2023</v>
      </c>
      <c r="E2" s="84">
        <v>2024</v>
      </c>
      <c r="F2" s="85">
        <v>2025</v>
      </c>
      <c r="G2" s="86">
        <v>2026</v>
      </c>
      <c r="H2" s="87">
        <v>2027</v>
      </c>
      <c r="I2" s="87">
        <v>2028</v>
      </c>
      <c r="J2" s="87">
        <v>2029</v>
      </c>
      <c r="K2" s="88">
        <v>2030</v>
      </c>
    </row>
    <row r="3" spans="1:21" x14ac:dyDescent="0.3">
      <c r="C3" s="113"/>
    </row>
    <row r="4" spans="1:21" ht="18" x14ac:dyDescent="0.35">
      <c r="A4" s="79" t="s">
        <v>129</v>
      </c>
      <c r="B4" s="110" t="s">
        <v>42</v>
      </c>
      <c r="C4" s="120">
        <f>6585</f>
        <v>6585</v>
      </c>
      <c r="D4" s="121">
        <v>7163</v>
      </c>
      <c r="E4" s="121">
        <v>7211</v>
      </c>
      <c r="F4" s="121">
        <v>7371</v>
      </c>
      <c r="G4" s="119">
        <f>F4*(1+G7)</f>
        <v>7657.6451017026047</v>
      </c>
      <c r="H4" s="119">
        <f t="shared" ref="H4:K4" si="0">G4*(1+H7)</f>
        <v>7830.6508331715804</v>
      </c>
      <c r="I4" s="119">
        <f t="shared" si="0"/>
        <v>8049.0453303880186</v>
      </c>
      <c r="J4" s="119">
        <f t="shared" si="0"/>
        <v>8288.8276622205376</v>
      </c>
      <c r="K4" s="119">
        <f t="shared" si="0"/>
        <v>8510.6157128034883</v>
      </c>
    </row>
    <row r="5" spans="1:21" ht="18" x14ac:dyDescent="0.35">
      <c r="A5" s="79" t="s">
        <v>112</v>
      </c>
      <c r="B5" s="102"/>
      <c r="C5" s="122"/>
      <c r="D5" s="123">
        <f>(D4-C4)/C4</f>
        <v>8.7775246772968871E-2</v>
      </c>
      <c r="E5" s="123">
        <f t="shared" ref="E5:F5" si="1">(E4-D4)/D4</f>
        <v>6.7011028898506216E-3</v>
      </c>
      <c r="F5" s="123">
        <f t="shared" si="1"/>
        <v>2.218832339481348E-2</v>
      </c>
      <c r="G5" s="114"/>
      <c r="H5" s="114"/>
      <c r="I5" s="114"/>
      <c r="J5" s="114"/>
      <c r="K5" s="114"/>
    </row>
    <row r="6" spans="1:21" ht="18" x14ac:dyDescent="0.35">
      <c r="A6" s="79" t="s">
        <v>113</v>
      </c>
      <c r="B6" s="102"/>
      <c r="C6" s="122"/>
      <c r="D6" s="124">
        <f>0%</f>
        <v>0</v>
      </c>
      <c r="E6" s="124">
        <v>0</v>
      </c>
      <c r="F6" s="124">
        <f>0</f>
        <v>0</v>
      </c>
      <c r="G6" s="116"/>
      <c r="H6" s="116"/>
      <c r="I6" s="116"/>
      <c r="J6" s="116"/>
      <c r="K6" s="116"/>
      <c r="M6" s="99" t="s">
        <v>137</v>
      </c>
      <c r="N6" s="99"/>
      <c r="O6" s="99"/>
      <c r="P6" s="99"/>
      <c r="Q6" s="99"/>
      <c r="R6" s="99"/>
      <c r="S6" s="99"/>
    </row>
    <row r="7" spans="1:21" ht="18" x14ac:dyDescent="0.35">
      <c r="A7" s="79" t="s">
        <v>114</v>
      </c>
      <c r="B7" s="102"/>
      <c r="C7" s="123"/>
      <c r="D7" s="123">
        <f>D5-D6</f>
        <v>8.7775246772968871E-2</v>
      </c>
      <c r="E7" s="123">
        <f t="shared" ref="E7:F7" si="2">E5-E6</f>
        <v>6.7011028898506216E-3</v>
      </c>
      <c r="F7" s="123">
        <f t="shared" si="2"/>
        <v>2.218832339481348E-2</v>
      </c>
      <c r="G7" s="114">
        <f>AVERAGE(D7:F7)</f>
        <v>3.8888224352544326E-2</v>
      </c>
      <c r="H7" s="114">
        <f t="shared" ref="H7:K7" si="3">AVERAGE(E7:G7)</f>
        <v>2.2592550212402807E-2</v>
      </c>
      <c r="I7" s="114">
        <f t="shared" si="3"/>
        <v>2.7889699319920205E-2</v>
      </c>
      <c r="J7" s="114">
        <f t="shared" si="3"/>
        <v>2.9790157961622446E-2</v>
      </c>
      <c r="K7" s="114">
        <f t="shared" si="3"/>
        <v>2.6757469164648485E-2</v>
      </c>
      <c r="M7" s="99" t="s">
        <v>136</v>
      </c>
      <c r="N7" s="99"/>
      <c r="O7" s="99"/>
      <c r="P7" s="99"/>
      <c r="Q7" s="99"/>
      <c r="R7" s="99"/>
      <c r="S7" s="99"/>
    </row>
    <row r="8" spans="1:21" ht="18" x14ac:dyDescent="0.35">
      <c r="B8" s="102"/>
      <c r="C8" s="122"/>
      <c r="D8" s="123"/>
      <c r="E8" s="123"/>
      <c r="F8" s="123"/>
      <c r="G8" s="117"/>
      <c r="H8" s="117"/>
      <c r="I8" s="117"/>
      <c r="J8" s="117"/>
      <c r="K8" s="117"/>
    </row>
    <row r="9" spans="1:21" ht="18" x14ac:dyDescent="0.35">
      <c r="A9" s="79" t="s">
        <v>128</v>
      </c>
      <c r="B9" s="101"/>
      <c r="C9" s="120">
        <f>2836</f>
        <v>2836</v>
      </c>
      <c r="D9" s="121">
        <v>3221</v>
      </c>
      <c r="E9" s="121">
        <v>3197</v>
      </c>
      <c r="F9" s="121">
        <v>3115</v>
      </c>
      <c r="G9" s="115">
        <f>F9*(1+G12)</f>
        <v>3221.5895225038153</v>
      </c>
      <c r="H9" s="115">
        <f t="shared" ref="H9:K9" si="4">G9*(1+H12)</f>
        <v>3222.7900984648018</v>
      </c>
      <c r="I9" s="115">
        <f t="shared" si="4"/>
        <v>3232.3959090329504</v>
      </c>
      <c r="J9" s="115">
        <f t="shared" si="4"/>
        <v>3272.8777881791334</v>
      </c>
      <c r="K9" s="115">
        <f t="shared" si="4"/>
        <v>3290.1990071077612</v>
      </c>
    </row>
    <row r="10" spans="1:21" ht="18" x14ac:dyDescent="0.35">
      <c r="A10" s="79" t="s">
        <v>112</v>
      </c>
      <c r="B10" s="101"/>
      <c r="C10" s="125"/>
      <c r="D10" s="123">
        <f>(D9-C9)/C9</f>
        <v>0.13575458392101553</v>
      </c>
      <c r="E10" s="123">
        <f t="shared" ref="E10:F10" si="5">(E9-D9)/D9</f>
        <v>-7.4511021421918662E-3</v>
      </c>
      <c r="F10" s="123">
        <f t="shared" si="5"/>
        <v>-2.564904598060682E-2</v>
      </c>
      <c r="G10" s="114"/>
      <c r="H10" s="114"/>
      <c r="I10" s="114"/>
      <c r="J10" s="114"/>
      <c r="K10" s="114"/>
    </row>
    <row r="11" spans="1:21" ht="18" x14ac:dyDescent="0.35">
      <c r="A11" s="79" t="s">
        <v>113</v>
      </c>
      <c r="B11" s="101"/>
      <c r="C11" s="125"/>
      <c r="D11" s="124">
        <f>0%</f>
        <v>0</v>
      </c>
      <c r="E11" s="124">
        <f>0</f>
        <v>0</v>
      </c>
      <c r="F11" s="124">
        <f>0</f>
        <v>0</v>
      </c>
      <c r="G11" s="118"/>
      <c r="H11" s="118"/>
      <c r="I11" s="118"/>
      <c r="J11" s="118"/>
      <c r="K11" s="118"/>
    </row>
    <row r="12" spans="1:21" ht="18" x14ac:dyDescent="0.35">
      <c r="A12" s="79" t="s">
        <v>114</v>
      </c>
      <c r="B12" s="101"/>
      <c r="C12" s="125"/>
      <c r="D12" s="123">
        <f>D10-D11</f>
        <v>0.13575458392101553</v>
      </c>
      <c r="E12" s="123">
        <f t="shared" ref="E12:F12" si="6">E10-E11</f>
        <v>-7.4511021421918662E-3</v>
      </c>
      <c r="F12" s="123">
        <f t="shared" si="6"/>
        <v>-2.564904598060682E-2</v>
      </c>
      <c r="G12" s="114">
        <f>AVERAGE(D12:F12)</f>
        <v>3.4218145266072281E-2</v>
      </c>
      <c r="H12" s="114">
        <f t="shared" ref="H12:K12" si="7">AVERAGE(E12:G12)</f>
        <v>3.7266571442453228E-4</v>
      </c>
      <c r="I12" s="114">
        <f t="shared" si="7"/>
        <v>2.9805883332966643E-3</v>
      </c>
      <c r="J12" s="114">
        <f t="shared" si="7"/>
        <v>1.2523799771264494E-2</v>
      </c>
      <c r="K12" s="114">
        <f t="shared" si="7"/>
        <v>5.2923512729952304E-3</v>
      </c>
    </row>
    <row r="13" spans="1:21" ht="18" x14ac:dyDescent="0.35">
      <c r="B13" s="101"/>
      <c r="C13" s="125"/>
      <c r="D13" s="123"/>
      <c r="E13" s="123"/>
      <c r="F13" s="123"/>
      <c r="G13" s="117"/>
      <c r="H13" s="117"/>
      <c r="I13" s="117"/>
      <c r="J13" s="117"/>
      <c r="K13" s="117"/>
    </row>
    <row r="14" spans="1:21" ht="18" x14ac:dyDescent="0.35">
      <c r="A14" s="79" t="s">
        <v>127</v>
      </c>
      <c r="B14" s="101"/>
      <c r="C14" s="120">
        <f>5985</f>
        <v>5985</v>
      </c>
      <c r="D14" s="121">
        <v>6549</v>
      </c>
      <c r="E14" s="121">
        <v>6746</v>
      </c>
      <c r="F14" s="121">
        <v>7279.49</v>
      </c>
      <c r="G14" s="115">
        <f>F14*(1+G17)</f>
        <v>7675.9769749235675</v>
      </c>
      <c r="H14" s="115">
        <f t="shared" ref="H14:K14" si="8">G14*(1+H17)</f>
        <v>8017.8897054884001</v>
      </c>
      <c r="I14" s="115">
        <f t="shared" si="8"/>
        <v>8413.6846828344096</v>
      </c>
      <c r="J14" s="115">
        <f t="shared" si="8"/>
        <v>8829.8073421781992</v>
      </c>
      <c r="K14" s="115">
        <f t="shared" si="8"/>
        <v>9251.7692433271113</v>
      </c>
    </row>
    <row r="15" spans="1:21" ht="18" x14ac:dyDescent="0.35">
      <c r="A15" s="79" t="s">
        <v>112</v>
      </c>
      <c r="B15" s="101"/>
      <c r="C15" s="125"/>
      <c r="D15" s="123">
        <f>(D14-C14)/C14</f>
        <v>9.4235588972431075E-2</v>
      </c>
      <c r="E15" s="123">
        <f t="shared" ref="E15:F15" si="9">(E14-D14)/D14</f>
        <v>3.0080928386013131E-2</v>
      </c>
      <c r="F15" s="123">
        <f t="shared" si="9"/>
        <v>7.9082419211384494E-2</v>
      </c>
      <c r="G15" s="114"/>
      <c r="H15" s="114"/>
      <c r="I15" s="114"/>
      <c r="J15" s="114"/>
      <c r="K15" s="114"/>
      <c r="M15" s="99" t="s">
        <v>134</v>
      </c>
      <c r="N15" s="99"/>
      <c r="O15" s="99"/>
      <c r="P15" s="99"/>
      <c r="Q15" s="99"/>
      <c r="R15" s="99"/>
      <c r="S15" s="99"/>
      <c r="T15" s="99"/>
      <c r="U15" s="99"/>
    </row>
    <row r="16" spans="1:21" ht="18" x14ac:dyDescent="0.35">
      <c r="A16" s="79" t="s">
        <v>113</v>
      </c>
      <c r="B16" s="101"/>
      <c r="C16" s="125"/>
      <c r="D16" s="124">
        <f>1%</f>
        <v>0.01</v>
      </c>
      <c r="E16" s="124">
        <f>0%</f>
        <v>0</v>
      </c>
      <c r="F16" s="124">
        <f>3%</f>
        <v>0.03</v>
      </c>
      <c r="G16" s="114"/>
      <c r="H16" s="114"/>
      <c r="I16" s="114"/>
      <c r="J16" s="114"/>
      <c r="K16" s="114"/>
      <c r="M16" s="99" t="s">
        <v>132</v>
      </c>
      <c r="N16" s="99"/>
      <c r="O16" s="99"/>
      <c r="P16" s="99"/>
      <c r="Q16" s="99"/>
      <c r="R16" s="99"/>
      <c r="S16" s="99"/>
      <c r="T16" s="99"/>
      <c r="U16" s="99"/>
    </row>
    <row r="17" spans="1:21" ht="18" x14ac:dyDescent="0.35">
      <c r="A17" s="79" t="s">
        <v>114</v>
      </c>
      <c r="B17" s="101"/>
      <c r="C17" s="125"/>
      <c r="D17" s="123">
        <f>D15-D16</f>
        <v>8.423558897243108E-2</v>
      </c>
      <c r="E17" s="123">
        <f t="shared" ref="E17:F17" si="10">E15-E16</f>
        <v>3.0080928386013131E-2</v>
      </c>
      <c r="F17" s="123">
        <f t="shared" si="10"/>
        <v>4.9082419211384495E-2</v>
      </c>
      <c r="G17" s="114">
        <f>AVERAGE(D17:F17)</f>
        <v>5.4466312189942905E-2</v>
      </c>
      <c r="H17" s="114">
        <f t="shared" ref="H17:K17" si="11">AVERAGE(E17:G17)</f>
        <v>4.454321992911351E-2</v>
      </c>
      <c r="I17" s="114">
        <f t="shared" si="11"/>
        <v>4.9363983776813634E-2</v>
      </c>
      <c r="J17" s="114">
        <f t="shared" si="11"/>
        <v>4.9457838631956685E-2</v>
      </c>
      <c r="K17" s="114">
        <f t="shared" si="11"/>
        <v>4.7788347445961277E-2</v>
      </c>
      <c r="M17" s="99" t="s">
        <v>135</v>
      </c>
      <c r="N17" s="99"/>
      <c r="O17" s="99"/>
      <c r="P17" s="99"/>
      <c r="Q17" s="99"/>
      <c r="R17" s="99"/>
      <c r="S17" s="99"/>
      <c r="T17" s="99"/>
      <c r="U17" s="99"/>
    </row>
    <row r="18" spans="1:21" ht="18" x14ac:dyDescent="0.35">
      <c r="B18" s="101"/>
      <c r="C18" s="125"/>
      <c r="D18" s="123"/>
      <c r="E18" s="123"/>
      <c r="F18" s="123"/>
      <c r="G18" s="114"/>
      <c r="H18" s="114"/>
      <c r="I18" s="114"/>
      <c r="J18" s="114"/>
      <c r="K18" s="114"/>
      <c r="M18" s="99" t="s">
        <v>133</v>
      </c>
      <c r="N18" s="99"/>
      <c r="O18" s="99"/>
      <c r="P18" s="99"/>
      <c r="Q18" s="99"/>
      <c r="R18" s="99"/>
      <c r="S18" s="99"/>
      <c r="T18" s="99"/>
      <c r="U18" s="99"/>
    </row>
    <row r="19" spans="1:21" ht="18" x14ac:dyDescent="0.35">
      <c r="A19" s="79" t="s">
        <v>126</v>
      </c>
      <c r="B19" s="101"/>
      <c r="C19" s="120">
        <f>5179</f>
        <v>5179</v>
      </c>
      <c r="D19" s="121">
        <v>5702</v>
      </c>
      <c r="E19" s="121">
        <v>5713</v>
      </c>
      <c r="F19" s="121">
        <v>6131</v>
      </c>
      <c r="G19" s="137">
        <f>F19*(1+G22)</f>
        <v>6449.9762213109352</v>
      </c>
      <c r="H19" s="137">
        <f t="shared" ref="H19:K19" si="12">G19*(1+H22)</f>
        <v>6680.2885226137814</v>
      </c>
      <c r="I19" s="137">
        <f t="shared" si="12"/>
        <v>6994.0409946479676</v>
      </c>
      <c r="J19" s="137">
        <f t="shared" si="12"/>
        <v>7308.0761278346363</v>
      </c>
      <c r="K19" s="137">
        <f t="shared" si="12"/>
        <v>7618.8514671117109</v>
      </c>
      <c r="M19" s="100"/>
    </row>
    <row r="20" spans="1:21" ht="18" x14ac:dyDescent="0.35">
      <c r="A20" s="79" t="s">
        <v>112</v>
      </c>
      <c r="B20" s="101"/>
      <c r="C20" s="125"/>
      <c r="D20" s="123">
        <f>(D19-C19)/C19</f>
        <v>0.10098474608997876</v>
      </c>
      <c r="E20" s="123">
        <f t="shared" ref="E20:F20" si="13">(E19-D19)/D19</f>
        <v>1.929147667485093E-3</v>
      </c>
      <c r="F20" s="123">
        <f t="shared" si="13"/>
        <v>7.3166462454052159E-2</v>
      </c>
      <c r="G20" s="114"/>
      <c r="H20" s="114"/>
      <c r="I20" s="114"/>
      <c r="J20" s="114"/>
      <c r="K20" s="114"/>
    </row>
    <row r="21" spans="1:21" ht="18" x14ac:dyDescent="0.35">
      <c r="A21" s="79" t="s">
        <v>115</v>
      </c>
      <c r="B21" s="101"/>
      <c r="C21" s="125"/>
      <c r="D21" s="126">
        <f>0%</f>
        <v>0</v>
      </c>
      <c r="E21" s="126">
        <f>0%</f>
        <v>0</v>
      </c>
      <c r="F21" s="126">
        <f>2%</f>
        <v>0.02</v>
      </c>
      <c r="G21" s="114"/>
      <c r="H21" s="114"/>
      <c r="I21" s="114"/>
      <c r="J21" s="114"/>
      <c r="K21" s="114"/>
    </row>
    <row r="22" spans="1:21" ht="18" x14ac:dyDescent="0.35">
      <c r="A22" s="79" t="s">
        <v>114</v>
      </c>
      <c r="B22" s="101"/>
      <c r="C22" s="125"/>
      <c r="D22" s="123">
        <f>D20-D21</f>
        <v>0.10098474608997876</v>
      </c>
      <c r="E22" s="123">
        <f t="shared" ref="E22:F22" si="14">E20-E21</f>
        <v>1.929147667485093E-3</v>
      </c>
      <c r="F22" s="123">
        <f t="shared" si="14"/>
        <v>5.3166462454052155E-2</v>
      </c>
      <c r="G22" s="114">
        <f>AVERAGE(D22:F22)</f>
        <v>5.202678540383867E-2</v>
      </c>
      <c r="H22" s="114">
        <f t="shared" ref="H22:K22" si="15">AVERAGE(E22:G22)</f>
        <v>3.5707465175125304E-2</v>
      </c>
      <c r="I22" s="114">
        <f t="shared" si="15"/>
        <v>4.6966904344338707E-2</v>
      </c>
      <c r="J22" s="114">
        <f t="shared" si="15"/>
        <v>4.4900384974434222E-2</v>
      </c>
      <c r="K22" s="114">
        <f t="shared" si="15"/>
        <v>4.2524918164632747E-2</v>
      </c>
    </row>
    <row r="23" spans="1:21" ht="18" x14ac:dyDescent="0.35">
      <c r="B23" s="101"/>
      <c r="C23" s="125"/>
      <c r="D23" s="123"/>
      <c r="E23" s="123"/>
      <c r="F23" s="123"/>
      <c r="G23" s="114"/>
      <c r="H23" s="114"/>
      <c r="I23" s="114"/>
      <c r="J23" s="114"/>
      <c r="K23" s="114"/>
    </row>
    <row r="24" spans="1:21" ht="18" x14ac:dyDescent="0.35">
      <c r="A24" s="79" t="s">
        <v>130</v>
      </c>
      <c r="B24" s="101"/>
      <c r="C24" s="120">
        <f>1536</f>
        <v>1536</v>
      </c>
      <c r="D24" s="121">
        <v>1724</v>
      </c>
      <c r="E24" s="121">
        <v>1758</v>
      </c>
      <c r="F24" s="121">
        <v>1898.2</v>
      </c>
      <c r="G24" s="137">
        <f>F24*(1+G27)</f>
        <v>2070.2193932661276</v>
      </c>
      <c r="H24" s="137">
        <f t="shared" ref="H24:K24" si="16">G24*(1+H27)</f>
        <v>2215.1993891586712</v>
      </c>
      <c r="I24" s="137">
        <f t="shared" si="16"/>
        <v>2385.3291493678917</v>
      </c>
      <c r="J24" s="137">
        <f t="shared" si="16"/>
        <v>2574.1316910987734</v>
      </c>
      <c r="K24" s="137">
        <f t="shared" si="16"/>
        <v>2768.0357933591627</v>
      </c>
    </row>
    <row r="25" spans="1:21" ht="18" x14ac:dyDescent="0.35">
      <c r="A25" s="79" t="s">
        <v>112</v>
      </c>
      <c r="B25" s="101"/>
      <c r="C25" s="125"/>
      <c r="D25" s="123">
        <f>(D24-C24)/C24</f>
        <v>0.12239583333333333</v>
      </c>
      <c r="E25" s="123">
        <f t="shared" ref="E25:F25" si="17">(E24-D24)/D24</f>
        <v>1.9721577726218097E-2</v>
      </c>
      <c r="F25" s="123">
        <f t="shared" si="17"/>
        <v>7.9749715585893083E-2</v>
      </c>
      <c r="G25" s="114"/>
      <c r="H25" s="114"/>
      <c r="I25" s="114"/>
      <c r="J25" s="114"/>
      <c r="K25" s="114"/>
    </row>
    <row r="26" spans="1:21" ht="18" x14ac:dyDescent="0.35">
      <c r="A26" s="79" t="s">
        <v>113</v>
      </c>
      <c r="B26" s="101"/>
      <c r="C26" s="125"/>
      <c r="D26" s="124">
        <f>-3%</f>
        <v>-0.03</v>
      </c>
      <c r="E26" s="124">
        <f>-3%</f>
        <v>-0.03</v>
      </c>
      <c r="F26" s="124">
        <f>1%</f>
        <v>0.01</v>
      </c>
      <c r="G26" s="114"/>
      <c r="H26" s="114"/>
      <c r="I26" s="114"/>
      <c r="J26" s="114"/>
      <c r="K26" s="114"/>
    </row>
    <row r="27" spans="1:21" ht="18" x14ac:dyDescent="0.35">
      <c r="A27" s="79" t="s">
        <v>114</v>
      </c>
      <c r="B27" s="101"/>
      <c r="C27" s="125"/>
      <c r="D27" s="123">
        <f>D25-D26</f>
        <v>0.15239583333333334</v>
      </c>
      <c r="E27" s="123">
        <f t="shared" ref="E27:F27" si="18">E25-E26</f>
        <v>4.9721577726218096E-2</v>
      </c>
      <c r="F27" s="123">
        <f t="shared" si="18"/>
        <v>6.9749715585893088E-2</v>
      </c>
      <c r="G27" s="114">
        <f>AVERAGE(D27:F27)</f>
        <v>9.0622375548481515E-2</v>
      </c>
      <c r="H27" s="114">
        <f t="shared" ref="H27:K27" si="19">AVERAGE(E27:G27)</f>
        <v>7.0031222953530897E-2</v>
      </c>
      <c r="I27" s="114">
        <f t="shared" si="19"/>
        <v>7.68011046959685E-2</v>
      </c>
      <c r="J27" s="114">
        <f t="shared" si="19"/>
        <v>7.91515677326603E-2</v>
      </c>
      <c r="K27" s="114">
        <f t="shared" si="19"/>
        <v>7.5327965127386556E-2</v>
      </c>
    </row>
    <row r="28" spans="1:21" ht="18" x14ac:dyDescent="0.35">
      <c r="B28" s="101"/>
      <c r="C28" s="125"/>
      <c r="D28" s="123"/>
      <c r="E28" s="123"/>
      <c r="F28" s="123"/>
      <c r="G28" s="114"/>
      <c r="H28" s="114"/>
      <c r="I28" s="114"/>
      <c r="J28" s="114"/>
      <c r="K28" s="114"/>
    </row>
    <row r="29" spans="1:21" ht="18" customHeight="1" x14ac:dyDescent="0.35">
      <c r="A29" s="79" t="s">
        <v>131</v>
      </c>
      <c r="B29" s="101"/>
      <c r="C29" s="120">
        <f>733</f>
        <v>733</v>
      </c>
      <c r="D29" s="127">
        <v>819</v>
      </c>
      <c r="E29" s="127">
        <v>872</v>
      </c>
      <c r="F29" s="127">
        <v>443</v>
      </c>
      <c r="G29" s="137">
        <f>F29*(1+G32)</f>
        <v>492.18166552562184</v>
      </c>
      <c r="H29" s="137">
        <f t="shared" ref="H29:K29" si="20">G29*(1+H32)</f>
        <v>546.82345796743812</v>
      </c>
      <c r="I29" s="137">
        <f t="shared" si="20"/>
        <v>607.53155821872133</v>
      </c>
      <c r="J29" s="137">
        <f t="shared" si="20"/>
        <v>674.97944510940533</v>
      </c>
      <c r="K29" s="137">
        <f t="shared" si="20"/>
        <v>749.91536679346984</v>
      </c>
      <c r="L29" s="81"/>
    </row>
    <row r="30" spans="1:21" ht="18" x14ac:dyDescent="0.35">
      <c r="A30" s="79" t="s">
        <v>112</v>
      </c>
      <c r="B30" s="101"/>
      <c r="C30" s="125"/>
      <c r="D30" s="123">
        <f>(D29-C29)/C29</f>
        <v>0.11732605729877217</v>
      </c>
      <c r="E30" s="123">
        <f t="shared" ref="E30:F30" si="21">(E29-D29)/D29</f>
        <v>6.4713064713064719E-2</v>
      </c>
      <c r="F30" s="123">
        <f t="shared" si="21"/>
        <v>-0.4919724770642202</v>
      </c>
      <c r="G30" s="114"/>
      <c r="H30" s="114"/>
      <c r="I30" s="114"/>
      <c r="J30" s="114"/>
      <c r="K30" s="114"/>
      <c r="L30" s="81"/>
    </row>
    <row r="31" spans="1:21" ht="18" x14ac:dyDescent="0.35">
      <c r="A31" s="79" t="s">
        <v>115</v>
      </c>
      <c r="B31" s="101"/>
      <c r="C31" s="125"/>
      <c r="D31" s="124">
        <f>-1%</f>
        <v>-0.01</v>
      </c>
      <c r="E31" s="124">
        <f>-3%</f>
        <v>-0.03</v>
      </c>
      <c r="F31" s="124">
        <f>0</f>
        <v>0</v>
      </c>
      <c r="G31" s="114"/>
      <c r="H31" s="114"/>
      <c r="I31" s="114"/>
      <c r="J31" s="114"/>
      <c r="K31" s="114"/>
    </row>
    <row r="32" spans="1:21" ht="18" x14ac:dyDescent="0.35">
      <c r="A32" s="79" t="s">
        <v>114</v>
      </c>
      <c r="B32" s="101"/>
      <c r="C32" s="125"/>
      <c r="D32" s="123">
        <f>D30-D31</f>
        <v>0.12732605729877217</v>
      </c>
      <c r="E32" s="123">
        <f t="shared" ref="E32:F32" si="22">E30-E31</f>
        <v>9.4713064713064718E-2</v>
      </c>
      <c r="F32" s="123">
        <f t="shared" si="22"/>
        <v>-0.4919724770642202</v>
      </c>
      <c r="G32" s="114">
        <f>AVERAGE($D$32:$E$32)</f>
        <v>0.11101956100591845</v>
      </c>
      <c r="H32" s="114">
        <f t="shared" ref="H32:K32" si="23">AVERAGE($D$32:$E$32)</f>
        <v>0.11101956100591845</v>
      </c>
      <c r="I32" s="114">
        <f t="shared" si="23"/>
        <v>0.11101956100591845</v>
      </c>
      <c r="J32" s="114">
        <f t="shared" si="23"/>
        <v>0.11101956100591845</v>
      </c>
      <c r="K32" s="114">
        <f t="shared" si="23"/>
        <v>0.11101956100591845</v>
      </c>
    </row>
    <row r="33" spans="1:21" ht="18" x14ac:dyDescent="0.35">
      <c r="B33" s="101"/>
      <c r="C33" s="128"/>
      <c r="D33" s="128"/>
      <c r="E33" s="128"/>
      <c r="F33" s="128"/>
      <c r="G33" s="114"/>
      <c r="H33" s="114"/>
      <c r="I33" s="114"/>
      <c r="J33" s="114"/>
      <c r="K33" s="114"/>
    </row>
    <row r="34" spans="1:21" ht="18" x14ac:dyDescent="0.35">
      <c r="A34" s="79" t="s">
        <v>116</v>
      </c>
      <c r="B34" s="101"/>
      <c r="C34" s="120">
        <f>329</f>
        <v>329</v>
      </c>
      <c r="D34" s="120">
        <f>316</f>
        <v>316</v>
      </c>
      <c r="E34" s="120">
        <f>423</f>
        <v>423</v>
      </c>
      <c r="F34" s="120">
        <f>647</f>
        <v>647</v>
      </c>
      <c r="G34" s="138">
        <f>F34*(1+G37)</f>
        <v>746.99188218998881</v>
      </c>
      <c r="H34" s="138">
        <f t="shared" ref="H34:K34" si="24">G34*(1+H37)</f>
        <v>1067.5105697578865</v>
      </c>
      <c r="I34" s="138">
        <f t="shared" si="24"/>
        <v>1427.3138255529741</v>
      </c>
      <c r="J34" s="138">
        <f t="shared" si="24"/>
        <v>1843.8226760669852</v>
      </c>
      <c r="K34" s="138">
        <f t="shared" si="24"/>
        <v>2550.1248616900052</v>
      </c>
    </row>
    <row r="35" spans="1:21" ht="18" x14ac:dyDescent="0.35">
      <c r="A35" s="79" t="s">
        <v>112</v>
      </c>
      <c r="B35" s="101"/>
      <c r="C35" s="128"/>
      <c r="D35" s="123">
        <f>(D34-C34)/C34</f>
        <v>-3.9513677811550151E-2</v>
      </c>
      <c r="E35" s="123">
        <f t="shared" ref="E35:F35" si="25">(E34-D34)/D34</f>
        <v>0.33860759493670883</v>
      </c>
      <c r="F35" s="123">
        <f t="shared" si="25"/>
        <v>0.52955082742316784</v>
      </c>
      <c r="G35" s="114"/>
      <c r="H35" s="114"/>
      <c r="I35" s="114"/>
      <c r="J35" s="114"/>
      <c r="K35" s="114"/>
      <c r="M35" s="278" t="s">
        <v>139</v>
      </c>
      <c r="N35" s="278"/>
      <c r="O35" s="278"/>
      <c r="P35" s="278"/>
      <c r="Q35" s="278"/>
      <c r="R35" s="278"/>
      <c r="S35" s="278"/>
      <c r="T35" s="278"/>
      <c r="U35" s="278"/>
    </row>
    <row r="36" spans="1:21" ht="18" x14ac:dyDescent="0.35">
      <c r="A36" s="79" t="s">
        <v>117</v>
      </c>
      <c r="B36" s="101"/>
      <c r="C36" s="120"/>
      <c r="D36" s="129">
        <f>-1%</f>
        <v>-0.01</v>
      </c>
      <c r="E36" s="120">
        <f>0</f>
        <v>0</v>
      </c>
      <c r="F36" s="129">
        <f>1%</f>
        <v>0.01</v>
      </c>
      <c r="G36" s="114"/>
      <c r="H36" s="114"/>
      <c r="I36" s="114"/>
      <c r="J36" s="114"/>
      <c r="K36" s="114"/>
      <c r="M36" s="278"/>
      <c r="N36" s="278"/>
      <c r="O36" s="278"/>
      <c r="P36" s="278"/>
      <c r="Q36" s="278"/>
      <c r="R36" s="278"/>
      <c r="S36" s="278"/>
      <c r="T36" s="278"/>
      <c r="U36" s="278"/>
    </row>
    <row r="37" spans="1:21" ht="18" x14ac:dyDescent="0.35">
      <c r="A37" s="79" t="s">
        <v>114</v>
      </c>
      <c r="B37" s="101"/>
      <c r="C37" s="128"/>
      <c r="D37" s="130">
        <f>D35-D36</f>
        <v>-2.9513677811550149E-2</v>
      </c>
      <c r="E37" s="130">
        <f t="shared" ref="E37:F37" si="26">E35-E36</f>
        <v>0.33860759493670883</v>
      </c>
      <c r="F37" s="130">
        <f t="shared" si="26"/>
        <v>0.51955082742316783</v>
      </c>
      <c r="G37" s="139">
        <f>AVERAGE(D37:E37)</f>
        <v>0.15454695856257933</v>
      </c>
      <c r="H37" s="139">
        <f t="shared" ref="H37:K37" si="27">AVERAGE(E37:F37)</f>
        <v>0.4290792111799383</v>
      </c>
      <c r="I37" s="139">
        <f t="shared" si="27"/>
        <v>0.33704889299287355</v>
      </c>
      <c r="J37" s="139">
        <f t="shared" si="27"/>
        <v>0.29181308487125879</v>
      </c>
      <c r="K37" s="139">
        <f t="shared" si="27"/>
        <v>0.38306405208640593</v>
      </c>
    </row>
    <row r="38" spans="1:21" ht="18" x14ac:dyDescent="0.35">
      <c r="B38" s="101"/>
      <c r="C38" s="123"/>
      <c r="D38" s="123"/>
      <c r="E38" s="123"/>
      <c r="F38" s="123"/>
      <c r="G38" s="114"/>
      <c r="H38" s="114"/>
      <c r="I38" s="114"/>
      <c r="J38" s="114"/>
      <c r="K38" s="114"/>
    </row>
    <row r="39" spans="1:21" ht="18" x14ac:dyDescent="0.35">
      <c r="A39" s="80" t="s">
        <v>118</v>
      </c>
      <c r="B39" s="105"/>
      <c r="C39" s="131">
        <f>C34+C29+C24+C19+C14+C9+C4</f>
        <v>23183</v>
      </c>
      <c r="D39" s="131">
        <f t="shared" ref="D39:K39" si="28">D34+D29+D24+D19+D14+D9+D4</f>
        <v>25494</v>
      </c>
      <c r="E39" s="131">
        <f t="shared" si="28"/>
        <v>25920</v>
      </c>
      <c r="F39" s="131">
        <f t="shared" si="28"/>
        <v>26884.690000000002</v>
      </c>
      <c r="G39" s="140">
        <f t="shared" si="28"/>
        <v>28314.580761422661</v>
      </c>
      <c r="H39" s="140">
        <f t="shared" si="28"/>
        <v>29581.15257662256</v>
      </c>
      <c r="I39" s="140">
        <f t="shared" si="28"/>
        <v>31109.341450042935</v>
      </c>
      <c r="J39" s="140">
        <f t="shared" si="28"/>
        <v>32792.52273268767</v>
      </c>
      <c r="K39" s="140">
        <f t="shared" si="28"/>
        <v>34739.51145219271</v>
      </c>
    </row>
    <row r="40" spans="1:21" ht="18" x14ac:dyDescent="0.35">
      <c r="A40" s="136" t="s">
        <v>138</v>
      </c>
      <c r="B40" s="106"/>
      <c r="C40" s="132"/>
      <c r="D40" s="132"/>
      <c r="E40" s="132"/>
      <c r="F40" s="132"/>
      <c r="G40" s="107"/>
      <c r="H40" s="107"/>
      <c r="I40" s="107"/>
      <c r="J40" s="107"/>
      <c r="K40" s="107"/>
    </row>
    <row r="41" spans="1:21" ht="18" x14ac:dyDescent="0.35">
      <c r="A41" s="79"/>
      <c r="B41" s="101"/>
      <c r="C41" s="123"/>
      <c r="D41" s="123"/>
      <c r="E41" s="123"/>
      <c r="F41" s="123"/>
      <c r="G41" s="103"/>
      <c r="H41" s="103"/>
      <c r="I41" s="103"/>
      <c r="J41" s="103"/>
      <c r="K41" s="103"/>
    </row>
    <row r="42" spans="1:21" ht="18" x14ac:dyDescent="0.35">
      <c r="A42" s="79"/>
      <c r="B42" s="101"/>
      <c r="C42" s="120"/>
      <c r="D42" s="120"/>
      <c r="E42" s="120"/>
      <c r="F42" s="120"/>
      <c r="G42" s="104"/>
      <c r="H42" s="104"/>
      <c r="I42" s="104"/>
      <c r="J42" s="104"/>
      <c r="K42" s="104"/>
    </row>
    <row r="43" spans="1:21" ht="18" x14ac:dyDescent="0.35">
      <c r="A43" s="79"/>
      <c r="B43" s="101"/>
      <c r="C43" s="120"/>
      <c r="D43" s="120"/>
      <c r="E43" s="120"/>
      <c r="F43" s="120"/>
      <c r="G43" s="104"/>
      <c r="H43" s="104"/>
      <c r="I43" s="104"/>
      <c r="J43" s="104"/>
      <c r="K43" s="104"/>
    </row>
    <row r="44" spans="1:21" ht="18" x14ac:dyDescent="0.35">
      <c r="A44" s="133"/>
      <c r="B44" s="101"/>
      <c r="C44" s="134"/>
      <c r="D44" s="134"/>
      <c r="E44" s="134"/>
      <c r="F44" s="134"/>
      <c r="G44" s="103"/>
      <c r="H44" s="103"/>
      <c r="I44" s="103"/>
      <c r="J44" s="103"/>
      <c r="K44" s="135"/>
    </row>
  </sheetData>
  <mergeCells count="4">
    <mergeCell ref="A1:A2"/>
    <mergeCell ref="C1:F1"/>
    <mergeCell ref="G1:K1"/>
    <mergeCell ref="M35:U3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811A-B710-4847-8819-A9DA2E4EA25F}">
  <sheetPr>
    <tabColor theme="9" tint="0.59999389629810485"/>
  </sheetPr>
  <dimension ref="A1:Q69"/>
  <sheetViews>
    <sheetView showGridLines="0" zoomScale="86" zoomScaleNormal="8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3" sqref="L3"/>
    </sheetView>
  </sheetViews>
  <sheetFormatPr defaultRowHeight="14.4" x14ac:dyDescent="0.3"/>
  <cols>
    <col min="1" max="1" width="41.77734375" bestFit="1" customWidth="1"/>
    <col min="2" max="2" width="4.6640625" bestFit="1" customWidth="1"/>
    <col min="3" max="3" width="10.5546875" bestFit="1" customWidth="1"/>
    <col min="4" max="6" width="9.77734375" bestFit="1" customWidth="1"/>
    <col min="7" max="11" width="10.88671875" bestFit="1" customWidth="1"/>
    <col min="13" max="13" width="9.77734375" customWidth="1"/>
    <col min="14" max="17" width="9.77734375" bestFit="1" customWidth="1"/>
  </cols>
  <sheetData>
    <row r="1" spans="1:12" ht="15" thickBot="1" x14ac:dyDescent="0.35">
      <c r="A1" s="279" t="s">
        <v>0</v>
      </c>
      <c r="B1" s="92"/>
      <c r="C1" s="280" t="s">
        <v>1</v>
      </c>
      <c r="D1" s="281"/>
      <c r="E1" s="281"/>
      <c r="F1" s="281"/>
      <c r="G1" s="282" t="s">
        <v>2</v>
      </c>
      <c r="H1" s="283"/>
      <c r="I1" s="283"/>
      <c r="J1" s="283"/>
      <c r="K1" s="284"/>
    </row>
    <row r="2" spans="1:12" ht="18" x14ac:dyDescent="0.35">
      <c r="A2" s="279"/>
      <c r="B2" s="92" t="s">
        <v>3</v>
      </c>
      <c r="C2" s="145">
        <v>2022</v>
      </c>
      <c r="D2" s="146">
        <v>2023</v>
      </c>
      <c r="E2" s="146">
        <v>2024</v>
      </c>
      <c r="F2" s="147">
        <v>2025</v>
      </c>
      <c r="G2" s="148">
        <v>2026</v>
      </c>
      <c r="H2" s="149">
        <v>2027</v>
      </c>
      <c r="I2" s="149">
        <v>2028</v>
      </c>
      <c r="J2" s="149">
        <v>2029</v>
      </c>
      <c r="K2" s="150">
        <v>2030</v>
      </c>
    </row>
    <row r="3" spans="1:12" ht="15.6" x14ac:dyDescent="0.3">
      <c r="A3" s="108"/>
      <c r="B3" s="109"/>
      <c r="C3" s="151"/>
      <c r="D3" s="151"/>
      <c r="E3" s="151"/>
      <c r="F3" s="151"/>
      <c r="G3" s="151"/>
      <c r="H3" s="151"/>
      <c r="I3" s="151"/>
      <c r="J3" s="151"/>
      <c r="K3" s="151"/>
    </row>
    <row r="4" spans="1:12" x14ac:dyDescent="0.3">
      <c r="A4" s="111" t="s">
        <v>175</v>
      </c>
      <c r="B4" s="141" t="s">
        <v>42</v>
      </c>
      <c r="C4" s="152">
        <f>Revenue!C39</f>
        <v>23183</v>
      </c>
      <c r="D4" s="152">
        <f>Revenue!D39</f>
        <v>25494</v>
      </c>
      <c r="E4" s="152">
        <f>Revenue!E39</f>
        <v>25920</v>
      </c>
      <c r="F4" s="152">
        <f>Revenue!F39</f>
        <v>26884.690000000002</v>
      </c>
      <c r="G4" s="152">
        <f>Revenue!G39</f>
        <v>28314.580761422661</v>
      </c>
      <c r="H4" s="152">
        <f>Revenue!H39</f>
        <v>29581.15257662256</v>
      </c>
      <c r="I4" s="152">
        <f>Revenue!I39</f>
        <v>31109.341450042935</v>
      </c>
      <c r="J4" s="152">
        <f>Revenue!J39</f>
        <v>32792.52273268767</v>
      </c>
      <c r="K4" s="152">
        <f>Revenue!K39</f>
        <v>34739.51145219271</v>
      </c>
    </row>
    <row r="5" spans="1:12" x14ac:dyDescent="0.3">
      <c r="A5" s="40" t="s">
        <v>152</v>
      </c>
      <c r="B5" s="153"/>
      <c r="C5" s="154">
        <f>7381+2350+245</f>
        <v>9976</v>
      </c>
      <c r="D5" s="154">
        <f>2475+8224+232</f>
        <v>10931</v>
      </c>
      <c r="E5" s="154">
        <f>2536+8334+339</f>
        <v>11209</v>
      </c>
      <c r="F5" s="154">
        <f>2618+8268+564</f>
        <v>11450</v>
      </c>
      <c r="G5" s="155">
        <f>G4*(1-G32)</f>
        <v>12157.019638847514</v>
      </c>
      <c r="H5" s="155">
        <f t="shared" ref="H5:K5" si="0">H4*(1-H32)</f>
        <v>12693.730678344591</v>
      </c>
      <c r="I5" s="155">
        <f t="shared" si="0"/>
        <v>13352.206184322104</v>
      </c>
      <c r="J5" s="155">
        <f t="shared" si="0"/>
        <v>14048.040964747057</v>
      </c>
      <c r="K5" s="155">
        <f t="shared" si="0"/>
        <v>14903.814923514705</v>
      </c>
    </row>
    <row r="6" spans="1:12" x14ac:dyDescent="0.3">
      <c r="A6" s="156" t="s">
        <v>153</v>
      </c>
      <c r="B6" s="157"/>
      <c r="C6" s="144">
        <f>C4-C5</f>
        <v>13207</v>
      </c>
      <c r="D6" s="144">
        <f t="shared" ref="D6:K6" si="1">D4-D5</f>
        <v>14563</v>
      </c>
      <c r="E6" s="144">
        <f t="shared" si="1"/>
        <v>14711</v>
      </c>
      <c r="F6" s="144">
        <f t="shared" si="1"/>
        <v>15434.690000000002</v>
      </c>
      <c r="G6" s="144">
        <f t="shared" si="1"/>
        <v>16157.561122575147</v>
      </c>
      <c r="H6" s="144">
        <f t="shared" si="1"/>
        <v>16887.421898277971</v>
      </c>
      <c r="I6" s="144">
        <f t="shared" si="1"/>
        <v>17757.135265720834</v>
      </c>
      <c r="J6" s="144">
        <f t="shared" si="1"/>
        <v>18744.481767940611</v>
      </c>
      <c r="K6" s="144">
        <f t="shared" si="1"/>
        <v>19835.696528678003</v>
      </c>
    </row>
    <row r="7" spans="1:12" x14ac:dyDescent="0.3">
      <c r="B7" s="109"/>
      <c r="C7" s="151"/>
      <c r="D7" s="151"/>
      <c r="E7" s="151"/>
      <c r="F7" s="151"/>
      <c r="G7" s="151"/>
      <c r="H7" s="151"/>
      <c r="I7" s="151"/>
      <c r="J7" s="151"/>
      <c r="K7" s="151"/>
    </row>
    <row r="8" spans="1:12" x14ac:dyDescent="0.3">
      <c r="A8" s="40" t="s">
        <v>140</v>
      </c>
      <c r="B8" s="109"/>
      <c r="C8" s="158">
        <f>370+2492</f>
        <v>2862</v>
      </c>
      <c r="D8" s="158">
        <f>382+2435</f>
        <v>2817</v>
      </c>
      <c r="E8" s="158">
        <f>447+2412</f>
        <v>2859</v>
      </c>
      <c r="F8" s="158">
        <f>2583+457</f>
        <v>3040</v>
      </c>
      <c r="G8" s="151">
        <f>G33*G4</f>
        <v>3237.2453191197642</v>
      </c>
      <c r="H8" s="151">
        <f>H33*H4</f>
        <v>3314.6007604219171</v>
      </c>
      <c r="I8" s="151">
        <f>I33*I4</f>
        <v>3497.9259938358273</v>
      </c>
      <c r="J8" s="151">
        <f>J33*J4</f>
        <v>3704.7166510348493</v>
      </c>
      <c r="K8" s="151">
        <f>K33*K4</f>
        <v>3923.7987632467548</v>
      </c>
    </row>
    <row r="9" spans="1:12" x14ac:dyDescent="0.3">
      <c r="A9" s="40" t="s">
        <v>178</v>
      </c>
      <c r="B9" s="153"/>
      <c r="C9" s="154">
        <f>974</f>
        <v>974</v>
      </c>
      <c r="D9" s="154">
        <v>99</v>
      </c>
      <c r="E9" s="154">
        <v>139.49</v>
      </c>
      <c r="F9" s="154">
        <v>2.1</v>
      </c>
      <c r="G9" s="155">
        <f>AVERAGE(E9:F9)</f>
        <v>70.795000000000002</v>
      </c>
      <c r="H9" s="155">
        <f t="shared" ref="H9:K9" si="2">AVERAGE(F9:G9)</f>
        <v>36.447499999999998</v>
      </c>
      <c r="I9" s="155">
        <f t="shared" si="2"/>
        <v>53.621250000000003</v>
      </c>
      <c r="J9" s="155">
        <f t="shared" si="2"/>
        <v>45.034374999999997</v>
      </c>
      <c r="K9" s="155">
        <f t="shared" si="2"/>
        <v>49.3278125</v>
      </c>
    </row>
    <row r="10" spans="1:12" x14ac:dyDescent="0.3">
      <c r="A10" s="156" t="s">
        <v>154</v>
      </c>
      <c r="B10" s="157"/>
      <c r="C10" s="159">
        <f>C6-C8-C9</f>
        <v>9371</v>
      </c>
      <c r="D10" s="159">
        <f t="shared" ref="D10:F10" si="3">D6-D8-D9</f>
        <v>11647</v>
      </c>
      <c r="E10" s="159">
        <f t="shared" si="3"/>
        <v>11712.51</v>
      </c>
      <c r="F10" s="159">
        <f t="shared" si="3"/>
        <v>12392.590000000002</v>
      </c>
      <c r="G10" s="144">
        <f>G6-G8-G9</f>
        <v>12849.520803455383</v>
      </c>
      <c r="H10" s="144">
        <f t="shared" ref="H10:K10" si="4">H6-H8-H9</f>
        <v>13536.373637856053</v>
      </c>
      <c r="I10" s="144">
        <f t="shared" si="4"/>
        <v>14205.588021885007</v>
      </c>
      <c r="J10" s="144">
        <f t="shared" si="4"/>
        <v>14994.730741905763</v>
      </c>
      <c r="K10" s="144">
        <f t="shared" si="4"/>
        <v>15862.569952931248</v>
      </c>
    </row>
    <row r="11" spans="1:12" x14ac:dyDescent="0.3">
      <c r="B11" s="157"/>
      <c r="C11" s="144"/>
      <c r="D11" s="144"/>
      <c r="E11" s="144"/>
      <c r="F11" s="144"/>
      <c r="G11" s="144"/>
      <c r="H11" s="144"/>
      <c r="I11" s="144"/>
      <c r="J11" s="144"/>
      <c r="K11" s="144"/>
    </row>
    <row r="12" spans="1:12" x14ac:dyDescent="0.3">
      <c r="A12" s="40" t="s">
        <v>197</v>
      </c>
      <c r="B12" s="109"/>
      <c r="C12" s="160">
        <v>339</v>
      </c>
      <c r="D12" s="160">
        <v>-236</v>
      </c>
      <c r="E12" s="160">
        <v>-138.5</v>
      </c>
      <c r="F12" s="160">
        <v>-86.5</v>
      </c>
      <c r="G12" s="260">
        <v>0</v>
      </c>
      <c r="H12" s="260">
        <v>0</v>
      </c>
      <c r="I12" s="260">
        <v>0</v>
      </c>
      <c r="J12" s="260">
        <v>0</v>
      </c>
      <c r="K12" s="260">
        <v>0</v>
      </c>
    </row>
    <row r="13" spans="1:12" x14ac:dyDescent="0.3">
      <c r="A13" s="40" t="s">
        <v>141</v>
      </c>
      <c r="B13" s="157"/>
      <c r="C13" s="144">
        <v>1207</v>
      </c>
      <c r="D13" s="144">
        <v>1361</v>
      </c>
      <c r="E13" s="144">
        <v>1506</v>
      </c>
      <c r="F13" s="144">
        <v>1582</v>
      </c>
      <c r="G13" s="261">
        <f>Debt!C12</f>
        <v>828.72263198803955</v>
      </c>
      <c r="H13" s="261">
        <f>Debt!D12</f>
        <v>927.15656194518408</v>
      </c>
      <c r="I13" s="261">
        <f>Debt!E12</f>
        <v>997.02130744064664</v>
      </c>
      <c r="J13" s="261">
        <f>Debt!F12</f>
        <v>995.74757594936591</v>
      </c>
      <c r="K13" s="261">
        <f>Debt!G12</f>
        <v>1016.2334439255021</v>
      </c>
      <c r="L13" s="163"/>
    </row>
    <row r="14" spans="1:12" x14ac:dyDescent="0.3">
      <c r="A14" t="s">
        <v>170</v>
      </c>
      <c r="B14" s="157"/>
      <c r="C14" s="161">
        <v>770.7</v>
      </c>
      <c r="D14" s="161">
        <v>273.7</v>
      </c>
      <c r="E14" s="159">
        <f>235.5</f>
        <v>235.5</v>
      </c>
      <c r="F14" s="159">
        <v>179</v>
      </c>
      <c r="G14" s="144">
        <v>0</v>
      </c>
      <c r="H14" s="144">
        <v>0</v>
      </c>
      <c r="I14" s="144">
        <v>0</v>
      </c>
      <c r="J14" s="144">
        <v>0</v>
      </c>
      <c r="K14" s="144">
        <v>0</v>
      </c>
    </row>
    <row r="15" spans="1:12" ht="4.2" customHeight="1" x14ac:dyDescent="0.3">
      <c r="A15" s="162"/>
      <c r="B15" s="153"/>
      <c r="C15" s="154"/>
      <c r="D15" s="154"/>
      <c r="E15" s="154"/>
      <c r="F15" s="154"/>
      <c r="G15" s="155"/>
      <c r="H15" s="155"/>
      <c r="I15" s="155"/>
      <c r="J15" s="155"/>
      <c r="K15" s="155"/>
    </row>
    <row r="16" spans="1:12" x14ac:dyDescent="0.3">
      <c r="A16" s="39" t="s">
        <v>171</v>
      </c>
      <c r="B16" s="157"/>
      <c r="C16" s="144">
        <f>C10-C12-C13+C14</f>
        <v>8595.7000000000007</v>
      </c>
      <c r="D16" s="144">
        <f t="shared" ref="D16:K16" si="5">D10-D12-D13+D14</f>
        <v>10795.7</v>
      </c>
      <c r="E16" s="144">
        <f t="shared" si="5"/>
        <v>10580.51</v>
      </c>
      <c r="F16" s="144">
        <f t="shared" si="5"/>
        <v>11076.090000000002</v>
      </c>
      <c r="G16" s="144">
        <f t="shared" si="5"/>
        <v>12020.798171467344</v>
      </c>
      <c r="H16" s="144">
        <f t="shared" si="5"/>
        <v>12609.217075910869</v>
      </c>
      <c r="I16" s="144">
        <f t="shared" si="5"/>
        <v>13208.56671444436</v>
      </c>
      <c r="J16" s="144">
        <f t="shared" si="5"/>
        <v>13998.983165956397</v>
      </c>
      <c r="K16" s="144">
        <f t="shared" si="5"/>
        <v>14846.336509005745</v>
      </c>
    </row>
    <row r="17" spans="1:17" ht="3.6" customHeight="1" x14ac:dyDescent="0.3">
      <c r="A17" s="39"/>
      <c r="B17" s="157"/>
      <c r="C17" s="144"/>
      <c r="D17" s="144"/>
      <c r="E17" s="144"/>
      <c r="F17" s="144"/>
      <c r="G17" s="144"/>
      <c r="H17" s="144"/>
      <c r="I17" s="144"/>
      <c r="J17" s="144"/>
      <c r="K17" s="144"/>
    </row>
    <row r="18" spans="1:17" x14ac:dyDescent="0.3">
      <c r="A18" s="40" t="s">
        <v>142</v>
      </c>
      <c r="B18" s="157"/>
      <c r="C18" s="144">
        <v>1648</v>
      </c>
      <c r="D18" s="144">
        <v>2053</v>
      </c>
      <c r="E18" s="144">
        <v>2121.4899999999998</v>
      </c>
      <c r="F18" s="144">
        <v>2334</v>
      </c>
      <c r="G18" s="144"/>
      <c r="H18" s="144"/>
      <c r="I18" s="144"/>
      <c r="J18" s="144"/>
      <c r="K18" s="144"/>
    </row>
    <row r="19" spans="1:17" x14ac:dyDescent="0.3">
      <c r="A19" s="163" t="s">
        <v>173</v>
      </c>
      <c r="B19" s="157"/>
      <c r="C19" s="159">
        <v>537.20000000000005</v>
      </c>
      <c r="D19" s="164">
        <v>0</v>
      </c>
      <c r="E19" s="159">
        <v>0</v>
      </c>
      <c r="F19" s="159">
        <v>0</v>
      </c>
      <c r="G19" s="144"/>
      <c r="H19" s="144"/>
      <c r="I19" s="144"/>
      <c r="J19" s="144"/>
      <c r="K19" s="144"/>
    </row>
    <row r="20" spans="1:17" ht="15" thickBot="1" x14ac:dyDescent="0.35">
      <c r="A20" s="165" t="s">
        <v>176</v>
      </c>
      <c r="B20" s="166"/>
      <c r="C20" s="167">
        <f>C18-C19</f>
        <v>1110.8</v>
      </c>
      <c r="D20" s="167">
        <f t="shared" ref="D20:F20" si="6">D18+D19</f>
        <v>2053</v>
      </c>
      <c r="E20" s="167">
        <f t="shared" si="6"/>
        <v>2121.4899999999998</v>
      </c>
      <c r="F20" s="167">
        <f t="shared" si="6"/>
        <v>2334</v>
      </c>
      <c r="G20" s="168">
        <f>G16*G35</f>
        <v>2195.6863332282783</v>
      </c>
      <c r="H20" s="168">
        <f t="shared" ref="H20:K20" si="7">H16*H35</f>
        <v>2471.5925658999658</v>
      </c>
      <c r="I20" s="168">
        <f t="shared" si="7"/>
        <v>2608.3797263101287</v>
      </c>
      <c r="J20" s="168">
        <f t="shared" si="7"/>
        <v>2753.8540037538523</v>
      </c>
      <c r="K20" s="168">
        <f t="shared" si="7"/>
        <v>2868.559199748488</v>
      </c>
      <c r="N20" s="219"/>
      <c r="O20" s="219"/>
      <c r="P20" s="219"/>
      <c r="Q20" s="219"/>
    </row>
    <row r="21" spans="1:17" x14ac:dyDescent="0.3">
      <c r="A21" s="39" t="s">
        <v>172</v>
      </c>
      <c r="B21" s="157"/>
      <c r="C21" s="144">
        <f>C16-C20</f>
        <v>7484.9000000000005</v>
      </c>
      <c r="D21" s="144">
        <f t="shared" ref="D21:F21" si="8">D16-D20</f>
        <v>8742.7000000000007</v>
      </c>
      <c r="E21" s="144">
        <f t="shared" si="8"/>
        <v>8459.02</v>
      </c>
      <c r="F21" s="144">
        <f t="shared" si="8"/>
        <v>8742.090000000002</v>
      </c>
      <c r="G21" s="144">
        <f t="shared" ref="G21" si="9">G16-G20</f>
        <v>9825.1118382390669</v>
      </c>
      <c r="H21" s="144">
        <f t="shared" ref="H21" si="10">H16-H20</f>
        <v>10137.624510010903</v>
      </c>
      <c r="I21" s="144">
        <f t="shared" ref="I21" si="11">I16-I20</f>
        <v>10600.186988134232</v>
      </c>
      <c r="J21" s="144">
        <f t="shared" ref="J21" si="12">J16-J20</f>
        <v>11245.129162202546</v>
      </c>
      <c r="K21" s="144">
        <f t="shared" ref="K21" si="13">K16-K20</f>
        <v>11977.777309257257</v>
      </c>
    </row>
    <row r="22" spans="1:17" x14ac:dyDescent="0.3">
      <c r="A22" s="40"/>
      <c r="B22" s="157"/>
      <c r="C22" s="144"/>
      <c r="D22" s="144"/>
      <c r="E22" s="144"/>
      <c r="F22" s="144"/>
      <c r="G22" s="144"/>
      <c r="H22" s="144"/>
      <c r="I22" s="144"/>
      <c r="J22" s="144"/>
      <c r="K22" s="144"/>
      <c r="M22" s="219"/>
      <c r="P22" s="219"/>
    </row>
    <row r="23" spans="1:17" ht="2.4" customHeight="1" x14ac:dyDescent="0.3">
      <c r="A23" s="39"/>
      <c r="B23" s="109"/>
      <c r="C23" s="151"/>
      <c r="D23" s="151"/>
      <c r="E23" s="151"/>
      <c r="F23" s="151"/>
      <c r="G23" s="151"/>
      <c r="H23" s="151"/>
      <c r="I23" s="151"/>
      <c r="J23" s="151"/>
      <c r="K23" s="151"/>
    </row>
    <row r="24" spans="1:17" x14ac:dyDescent="0.3">
      <c r="A24" s="111" t="s">
        <v>174</v>
      </c>
      <c r="B24" s="157"/>
      <c r="C24" s="159"/>
      <c r="D24" s="159"/>
      <c r="E24" s="159"/>
      <c r="F24" s="159"/>
      <c r="G24" s="144"/>
      <c r="H24" s="144"/>
      <c r="I24" s="144"/>
      <c r="J24" s="144"/>
      <c r="K24" s="144"/>
      <c r="N24" s="219"/>
      <c r="O24" s="219"/>
    </row>
    <row r="25" spans="1:17" x14ac:dyDescent="0.3">
      <c r="A25" s="40" t="s">
        <v>143</v>
      </c>
      <c r="B25" s="109"/>
      <c r="C25" s="169">
        <v>10.1</v>
      </c>
      <c r="D25" s="170">
        <v>11.94</v>
      </c>
      <c r="E25" s="170">
        <v>11.72</v>
      </c>
      <c r="F25" s="170">
        <f>12.2</f>
        <v>12.2</v>
      </c>
      <c r="G25" s="170">
        <f>G21/G26</f>
        <v>13.71456147157882</v>
      </c>
      <c r="H25" s="170">
        <f t="shared" ref="H25:K25" si="14">H21/H26</f>
        <v>14.150787981589758</v>
      </c>
      <c r="I25" s="170">
        <f t="shared" si="14"/>
        <v>14.796464249210263</v>
      </c>
      <c r="J25" s="170">
        <f t="shared" si="14"/>
        <v>15.696718540204559</v>
      </c>
      <c r="K25" s="170">
        <f t="shared" si="14"/>
        <v>16.719398812475234</v>
      </c>
    </row>
    <row r="26" spans="1:17" x14ac:dyDescent="0.3">
      <c r="A26" s="40" t="s">
        <v>144</v>
      </c>
      <c r="B26" s="157"/>
      <c r="C26" s="171">
        <v>741.3</v>
      </c>
      <c r="D26" s="171">
        <v>732.3</v>
      </c>
      <c r="E26" s="171">
        <v>721.9</v>
      </c>
      <c r="F26" s="171">
        <v>716.4</v>
      </c>
      <c r="G26" s="144">
        <f>F26</f>
        <v>716.4</v>
      </c>
      <c r="H26" s="144">
        <f t="shared" ref="H26:K26" si="15">G26</f>
        <v>716.4</v>
      </c>
      <c r="I26" s="144">
        <f t="shared" si="15"/>
        <v>716.4</v>
      </c>
      <c r="J26" s="144">
        <f t="shared" si="15"/>
        <v>716.4</v>
      </c>
      <c r="K26" s="144">
        <f t="shared" si="15"/>
        <v>716.4</v>
      </c>
    </row>
    <row r="27" spans="1:17" x14ac:dyDescent="0.3">
      <c r="B27" s="157"/>
      <c r="C27" s="172"/>
      <c r="D27" s="172"/>
      <c r="E27" s="172"/>
      <c r="F27" s="172"/>
      <c r="G27" s="172"/>
      <c r="H27" s="172"/>
      <c r="I27" s="172"/>
      <c r="J27" s="172"/>
      <c r="K27" s="172"/>
    </row>
    <row r="28" spans="1:17" x14ac:dyDescent="0.3">
      <c r="A28" s="40" t="s">
        <v>145</v>
      </c>
      <c r="B28" s="157"/>
      <c r="C28" s="173">
        <v>6.08</v>
      </c>
      <c r="D28" s="173">
        <v>6.68</v>
      </c>
      <c r="E28" s="173">
        <v>7.08</v>
      </c>
      <c r="F28" s="173">
        <v>7.44</v>
      </c>
      <c r="G28" s="172">
        <f>G29*G25</f>
        <v>9.1595284320019879</v>
      </c>
      <c r="H28" s="172">
        <f t="shared" ref="H28:K28" si="16">H29*H25</f>
        <v>10.272080193849092</v>
      </c>
      <c r="I28" s="172">
        <f t="shared" si="16"/>
        <v>11.599457711430082</v>
      </c>
      <c r="J28" s="172">
        <f t="shared" si="16"/>
        <v>13.216122364342727</v>
      </c>
      <c r="K28" s="172">
        <f t="shared" si="16"/>
        <v>15.047458931227711</v>
      </c>
    </row>
    <row r="29" spans="1:17" x14ac:dyDescent="0.3">
      <c r="A29" s="40" t="s">
        <v>120</v>
      </c>
      <c r="B29" s="157"/>
      <c r="C29" s="181">
        <f>C28/C25</f>
        <v>0.60198019801980196</v>
      </c>
      <c r="D29" s="181">
        <f t="shared" ref="D29:F29" si="17">D28/D25</f>
        <v>0.55946398659966501</v>
      </c>
      <c r="E29" s="181">
        <f t="shared" si="17"/>
        <v>0.60409556313993173</v>
      </c>
      <c r="F29" s="181">
        <f t="shared" si="17"/>
        <v>0.60983606557377057</v>
      </c>
      <c r="G29" s="181">
        <f>F29-($F$29-$K$29)/5</f>
        <v>0.6678688524590165</v>
      </c>
      <c r="H29" s="181">
        <f t="shared" ref="H29:J29" si="18">G29-($F$29-$K$29)/5</f>
        <v>0.72590163934426244</v>
      </c>
      <c r="I29" s="181">
        <f t="shared" si="18"/>
        <v>0.78393442622950837</v>
      </c>
      <c r="J29" s="181">
        <f t="shared" si="18"/>
        <v>0.84196721311475431</v>
      </c>
      <c r="K29" s="181">
        <v>0.9</v>
      </c>
    </row>
    <row r="30" spans="1:17" x14ac:dyDescent="0.3">
      <c r="B30" s="157"/>
      <c r="C30" s="173"/>
      <c r="D30" s="173"/>
      <c r="E30" s="173"/>
      <c r="F30" s="173"/>
      <c r="G30" s="172"/>
      <c r="H30" s="172"/>
      <c r="I30" s="172"/>
      <c r="J30" s="172"/>
      <c r="K30" s="172"/>
    </row>
    <row r="31" spans="1:17" x14ac:dyDescent="0.3">
      <c r="A31" s="174" t="s">
        <v>121</v>
      </c>
      <c r="B31" s="157"/>
      <c r="C31" s="175"/>
      <c r="D31" s="175"/>
      <c r="E31" s="175"/>
      <c r="F31" s="175"/>
      <c r="G31" s="176"/>
      <c r="H31" s="176"/>
      <c r="I31" s="176"/>
      <c r="J31" s="176"/>
      <c r="K31" s="177"/>
    </row>
    <row r="32" spans="1:17" x14ac:dyDescent="0.3">
      <c r="A32" s="40" t="s">
        <v>146</v>
      </c>
      <c r="B32" s="157"/>
      <c r="C32" s="178">
        <f>C6/C4</f>
        <v>0.56968468274166417</v>
      </c>
      <c r="D32" s="178">
        <f>D6/D4</f>
        <v>0.57123244685023922</v>
      </c>
      <c r="E32" s="178">
        <f>E6/E4</f>
        <v>0.56755401234567904</v>
      </c>
      <c r="F32" s="178">
        <f>F6/F4</f>
        <v>0.57410704754267206</v>
      </c>
      <c r="G32" s="178">
        <f>AVERAGE(C32:F32)</f>
        <v>0.57064454737006365</v>
      </c>
      <c r="H32" s="178">
        <f t="shared" ref="H32:K32" si="19">AVERAGE(D32:G32)</f>
        <v>0.57088451352716352</v>
      </c>
      <c r="I32" s="178">
        <f t="shared" si="19"/>
        <v>0.57079753019639456</v>
      </c>
      <c r="J32" s="178">
        <f t="shared" si="19"/>
        <v>0.57160840965907345</v>
      </c>
      <c r="K32" s="178">
        <f t="shared" si="19"/>
        <v>0.57098375018817382</v>
      </c>
    </row>
    <row r="33" spans="1:11" x14ac:dyDescent="0.3">
      <c r="A33" s="40" t="s">
        <v>147</v>
      </c>
      <c r="B33" s="157"/>
      <c r="C33" s="179">
        <f>C8/C4</f>
        <v>0.12345252987102619</v>
      </c>
      <c r="D33" s="179">
        <f>D8/D4</f>
        <v>0.11049658743233702</v>
      </c>
      <c r="E33" s="179">
        <f>E8/E4</f>
        <v>0.11030092592592593</v>
      </c>
      <c r="F33" s="179">
        <f>F8/F4</f>
        <v>0.11307550877469667</v>
      </c>
      <c r="G33" s="179">
        <f>AVERAGE(C33:F33)</f>
        <v>0.11433138800099646</v>
      </c>
      <c r="H33" s="179">
        <f t="shared" ref="H33:K33" si="20">AVERAGE(D33:G33)</f>
        <v>0.11205110253348902</v>
      </c>
      <c r="I33" s="179">
        <f t="shared" si="20"/>
        <v>0.11243973130877702</v>
      </c>
      <c r="J33" s="179">
        <f t="shared" si="20"/>
        <v>0.11297443265448981</v>
      </c>
      <c r="K33" s="179">
        <f t="shared" si="20"/>
        <v>0.11294916362443808</v>
      </c>
    </row>
    <row r="34" spans="1:11" x14ac:dyDescent="0.3">
      <c r="A34" s="40" t="s">
        <v>122</v>
      </c>
      <c r="B34" s="157"/>
      <c r="C34" s="179">
        <f>C10/C4</f>
        <v>0.40421860846309798</v>
      </c>
      <c r="D34" s="179">
        <f>D10/D4</f>
        <v>0.45685259276692552</v>
      </c>
      <c r="E34" s="179">
        <f>E10/E4</f>
        <v>0.45187152777777778</v>
      </c>
      <c r="F34" s="179">
        <f>F10/F4</f>
        <v>0.46095342739678236</v>
      </c>
      <c r="G34" s="179">
        <f>AVERAGE(C34:F34)</f>
        <v>0.44347403910114591</v>
      </c>
      <c r="H34" s="179">
        <f t="shared" ref="H34:K36" si="21">AVERAGE(D34:G34)</f>
        <v>0.45328789676065795</v>
      </c>
      <c r="I34" s="179">
        <f t="shared" si="21"/>
        <v>0.45239672275909099</v>
      </c>
      <c r="J34" s="179">
        <f t="shared" si="21"/>
        <v>0.45252802150441929</v>
      </c>
      <c r="K34" s="179">
        <f t="shared" si="21"/>
        <v>0.45042167003132849</v>
      </c>
    </row>
    <row r="35" spans="1:11" x14ac:dyDescent="0.3">
      <c r="A35" s="40" t="s">
        <v>123</v>
      </c>
      <c r="B35" s="157"/>
      <c r="C35" s="176">
        <f>C20/C16</f>
        <v>0.12922740439987435</v>
      </c>
      <c r="D35" s="176">
        <f t="shared" ref="D35:F35" si="22">D20/D16</f>
        <v>0.19016830775216056</v>
      </c>
      <c r="E35" s="176">
        <f t="shared" si="22"/>
        <v>0.2005092382125247</v>
      </c>
      <c r="F35" s="176">
        <f t="shared" si="22"/>
        <v>0.21072418154782055</v>
      </c>
      <c r="G35" s="176">
        <f>AVERAGE(C35:F35)</f>
        <v>0.18265728297809505</v>
      </c>
      <c r="H35" s="176">
        <f t="shared" si="21"/>
        <v>0.19601475262265022</v>
      </c>
      <c r="I35" s="176">
        <f t="shared" si="21"/>
        <v>0.19747636384027262</v>
      </c>
      <c r="J35" s="176">
        <f t="shared" si="21"/>
        <v>0.1967181452472096</v>
      </c>
      <c r="K35" s="176">
        <f t="shared" si="21"/>
        <v>0.19321663617205687</v>
      </c>
    </row>
    <row r="36" spans="1:11" ht="17.399999999999999" customHeight="1" x14ac:dyDescent="0.3">
      <c r="A36" s="40" t="s">
        <v>148</v>
      </c>
      <c r="B36" s="157"/>
      <c r="C36" s="176">
        <f>C21/C4</f>
        <v>0.32286157960574563</v>
      </c>
      <c r="D36" s="176">
        <f>D21/D4</f>
        <v>0.34293167019690912</v>
      </c>
      <c r="E36" s="176">
        <f>E21/E4</f>
        <v>0.32635108024691362</v>
      </c>
      <c r="F36" s="176">
        <f>F21/F4</f>
        <v>0.32516982713953557</v>
      </c>
      <c r="G36" s="176">
        <f>AVERAGE(C36:F36)</f>
        <v>0.32932853929727601</v>
      </c>
      <c r="H36" s="176">
        <f t="shared" si="21"/>
        <v>0.33094527922015859</v>
      </c>
      <c r="I36" s="176">
        <f t="shared" si="21"/>
        <v>0.32794868147597095</v>
      </c>
      <c r="J36" s="176">
        <f t="shared" si="21"/>
        <v>0.32834808178323527</v>
      </c>
      <c r="K36" s="176">
        <f t="shared" si="21"/>
        <v>0.32914264544416016</v>
      </c>
    </row>
    <row r="37" spans="1:11" x14ac:dyDescent="0.3">
      <c r="A37" t="s">
        <v>177</v>
      </c>
      <c r="C37" s="180">
        <f>C10+C40</f>
        <v>11241.6</v>
      </c>
      <c r="D37" s="180">
        <f t="shared" ref="D37:K37" si="23">D10+D40</f>
        <v>13625</v>
      </c>
      <c r="E37" s="180">
        <f t="shared" si="23"/>
        <v>13809.51</v>
      </c>
      <c r="F37" s="180">
        <f t="shared" si="23"/>
        <v>14591.590000000002</v>
      </c>
      <c r="G37" s="180">
        <f t="shared" si="23"/>
        <v>13995.288150273134</v>
      </c>
      <c r="H37" s="180">
        <f t="shared" si="23"/>
        <v>14730.446096160049</v>
      </c>
      <c r="I37" s="180">
        <f t="shared" si="23"/>
        <v>15468.614896077337</v>
      </c>
      <c r="J37" s="180">
        <f t="shared" si="23"/>
        <v>16336.748467262645</v>
      </c>
      <c r="K37" s="180">
        <f t="shared" si="23"/>
        <v>17272.571707736402</v>
      </c>
    </row>
    <row r="38" spans="1:11" x14ac:dyDescent="0.3">
      <c r="A38" s="40" t="s">
        <v>150</v>
      </c>
      <c r="B38" s="157"/>
      <c r="C38" s="176">
        <f>C37/C4</f>
        <v>0.48490704395462192</v>
      </c>
      <c r="D38" s="176">
        <f t="shared" ref="D38:F38" si="24">D37/D4</f>
        <v>0.53443947595512664</v>
      </c>
      <c r="E38" s="176">
        <f t="shared" si="24"/>
        <v>0.53277430555555561</v>
      </c>
      <c r="F38" s="176">
        <f t="shared" si="24"/>
        <v>0.54274719180321596</v>
      </c>
      <c r="G38" s="176">
        <f t="shared" ref="G38" si="25">G37/G4</f>
        <v>0.49427848740536828</v>
      </c>
      <c r="H38" s="176">
        <f t="shared" ref="H38" si="26">H37/H4</f>
        <v>0.49796728028106818</v>
      </c>
      <c r="I38" s="176">
        <f t="shared" ref="I38" si="27">I37/I4</f>
        <v>0.49723376243491607</v>
      </c>
      <c r="J38" s="176">
        <f t="shared" ref="J38" si="28">J37/J4</f>
        <v>0.49818516862620432</v>
      </c>
      <c r="K38" s="176">
        <f t="shared" ref="K38" si="29">K37/K4</f>
        <v>0.49720249323328297</v>
      </c>
    </row>
    <row r="39" spans="1:11" x14ac:dyDescent="0.3">
      <c r="A39" s="40" t="s">
        <v>124</v>
      </c>
      <c r="B39" s="157"/>
      <c r="C39" s="180">
        <f>C28*C26</f>
        <v>4507.1039999999994</v>
      </c>
      <c r="D39" s="180">
        <f t="shared" ref="D39:K39" si="30">D28*D26</f>
        <v>4891.7639999999992</v>
      </c>
      <c r="E39" s="180">
        <f t="shared" si="30"/>
        <v>5111.0519999999997</v>
      </c>
      <c r="F39" s="180">
        <f t="shared" si="30"/>
        <v>5330.0160000000005</v>
      </c>
      <c r="G39" s="180">
        <f t="shared" si="30"/>
        <v>6561.8861686862238</v>
      </c>
      <c r="H39" s="180">
        <f t="shared" si="30"/>
        <v>7358.9182508734893</v>
      </c>
      <c r="I39" s="180">
        <f t="shared" si="30"/>
        <v>8309.85150446851</v>
      </c>
      <c r="J39" s="180">
        <f t="shared" si="30"/>
        <v>9468.0300618151286</v>
      </c>
      <c r="K39" s="180">
        <f t="shared" si="30"/>
        <v>10779.999578331532</v>
      </c>
    </row>
    <row r="40" spans="1:11" x14ac:dyDescent="0.3">
      <c r="A40" s="40" t="s">
        <v>149</v>
      </c>
      <c r="B40" s="157"/>
      <c r="C40" s="68">
        <v>1870.6</v>
      </c>
      <c r="D40" s="4">
        <v>1978</v>
      </c>
      <c r="E40" s="4">
        <v>2097</v>
      </c>
      <c r="F40" s="4">
        <v>2199</v>
      </c>
      <c r="G40" s="222">
        <f>Capex!G11</f>
        <v>1145.7673468177504</v>
      </c>
      <c r="H40" s="222">
        <f>Capex!H11</f>
        <v>1194.0724583039946</v>
      </c>
      <c r="I40" s="222">
        <f>Capex!I11</f>
        <v>1263.0268741923296</v>
      </c>
      <c r="J40" s="222">
        <f>Capex!J11</f>
        <v>1342.0177253568827</v>
      </c>
      <c r="K40" s="222">
        <f>Capex!K11</f>
        <v>1410.0017548051542</v>
      </c>
    </row>
    <row r="41" spans="1:11" x14ac:dyDescent="0.3">
      <c r="A41" s="40" t="s">
        <v>151</v>
      </c>
      <c r="B41" s="157"/>
      <c r="C41" s="144"/>
      <c r="D41" s="185">
        <f>-D12/AVERAGE('Balance Sheet'!C5:D5)</f>
        <v>6.5893258505395708E-2</v>
      </c>
      <c r="E41" s="185">
        <f>-E12/AVERAGE('Balance Sheet'!D5:E5)</f>
        <v>4.8902777042176437E-2</v>
      </c>
      <c r="F41" s="185">
        <f>-F12/AVERAGE('Balance Sheet'!E5:F5)</f>
        <v>9.3060785368477672E-2</v>
      </c>
      <c r="G41" s="185">
        <f>AVERAGE(D41:F41)</f>
        <v>6.9285606972016606E-2</v>
      </c>
      <c r="H41" s="185">
        <f t="shared" ref="H41:K41" si="31">AVERAGE(E41:G41)</f>
        <v>7.0416389794223572E-2</v>
      </c>
      <c r="I41" s="185">
        <f t="shared" si="31"/>
        <v>7.758759404490595E-2</v>
      </c>
      <c r="J41" s="185">
        <f t="shared" si="31"/>
        <v>7.242986360371538E-2</v>
      </c>
      <c r="K41" s="185">
        <f t="shared" si="31"/>
        <v>7.3477949147614963E-2</v>
      </c>
    </row>
    <row r="42" spans="1:11" x14ac:dyDescent="0.3">
      <c r="A42" s="40"/>
      <c r="B42" s="157"/>
      <c r="C42" s="159"/>
      <c r="D42" s="159"/>
      <c r="E42" s="159"/>
      <c r="F42" s="159"/>
      <c r="G42" s="152"/>
      <c r="H42" s="152"/>
      <c r="I42" s="152"/>
      <c r="J42" s="152"/>
      <c r="K42" s="152"/>
    </row>
    <row r="43" spans="1:11" x14ac:dyDescent="0.3">
      <c r="A43" s="40"/>
      <c r="B43" s="157"/>
      <c r="C43" s="176"/>
      <c r="D43" s="176"/>
      <c r="E43" s="176"/>
      <c r="F43" s="176"/>
      <c r="G43" s="176"/>
      <c r="H43" s="176"/>
      <c r="I43" s="176"/>
      <c r="J43" s="176"/>
      <c r="K43" s="176"/>
    </row>
    <row r="44" spans="1:11" ht="15" x14ac:dyDescent="0.3">
      <c r="A44" s="182"/>
    </row>
    <row r="45" spans="1:11" ht="15" x14ac:dyDescent="0.3">
      <c r="A45" s="182"/>
      <c r="B45" s="157"/>
      <c r="C45" s="144"/>
      <c r="D45" s="144"/>
      <c r="E45" s="144"/>
      <c r="F45" s="144"/>
      <c r="G45" s="144"/>
      <c r="H45" s="144"/>
      <c r="I45" s="144"/>
      <c r="J45" s="144"/>
      <c r="K45" s="144"/>
    </row>
    <row r="46" spans="1:11" ht="15.6" x14ac:dyDescent="0.3">
      <c r="A46" s="183"/>
    </row>
    <row r="48" spans="1:11" ht="15.6" x14ac:dyDescent="0.3">
      <c r="A48" s="183"/>
    </row>
    <row r="49" spans="1:1" ht="15" x14ac:dyDescent="0.3">
      <c r="A49" s="182"/>
    </row>
    <row r="50" spans="1:1" ht="15" x14ac:dyDescent="0.3">
      <c r="A50" s="182"/>
    </row>
    <row r="51" spans="1:1" ht="15" x14ac:dyDescent="0.3">
      <c r="A51" s="182"/>
    </row>
    <row r="52" spans="1:1" ht="15" x14ac:dyDescent="0.3">
      <c r="A52" s="182"/>
    </row>
    <row r="53" spans="1:1" ht="15" x14ac:dyDescent="0.3">
      <c r="A53" s="182"/>
    </row>
    <row r="54" spans="1:1" ht="15" x14ac:dyDescent="0.3">
      <c r="A54" s="182"/>
    </row>
    <row r="56" spans="1:1" ht="15.6" x14ac:dyDescent="0.3">
      <c r="A56" s="184"/>
    </row>
    <row r="57" spans="1:1" ht="15" x14ac:dyDescent="0.3">
      <c r="A57" s="182"/>
    </row>
    <row r="58" spans="1:1" ht="15" x14ac:dyDescent="0.3">
      <c r="A58" s="182"/>
    </row>
    <row r="59" spans="1:1" ht="15" x14ac:dyDescent="0.3">
      <c r="A59" s="182"/>
    </row>
    <row r="60" spans="1:1" ht="15" x14ac:dyDescent="0.3">
      <c r="A60" s="182"/>
    </row>
    <row r="61" spans="1:1" ht="15" x14ac:dyDescent="0.3">
      <c r="A61" s="182"/>
    </row>
    <row r="62" spans="1:1" ht="15" x14ac:dyDescent="0.3">
      <c r="A62" s="182"/>
    </row>
    <row r="63" spans="1:1" ht="15" x14ac:dyDescent="0.3">
      <c r="A63" s="182"/>
    </row>
    <row r="64" spans="1:1" ht="15" x14ac:dyDescent="0.3">
      <c r="A64" s="182"/>
    </row>
    <row r="65" spans="1:1" ht="15" x14ac:dyDescent="0.3">
      <c r="A65" s="182"/>
    </row>
    <row r="66" spans="1:1" ht="15" x14ac:dyDescent="0.3">
      <c r="A66" s="182"/>
    </row>
    <row r="67" spans="1:1" ht="15" x14ac:dyDescent="0.3">
      <c r="A67" s="182"/>
    </row>
    <row r="68" spans="1:1" ht="15" x14ac:dyDescent="0.3">
      <c r="A68" s="182"/>
    </row>
    <row r="69" spans="1:1" ht="15" x14ac:dyDescent="0.3">
      <c r="A69" s="182"/>
    </row>
  </sheetData>
  <mergeCells count="3">
    <mergeCell ref="A1:A2"/>
    <mergeCell ref="C1:F1"/>
    <mergeCell ref="G1:K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O76"/>
  <sheetViews>
    <sheetView showGridLines="0" zoomScale="88" zoomScaleNormal="8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3" sqref="L3"/>
    </sheetView>
  </sheetViews>
  <sheetFormatPr defaultRowHeight="14.4" x14ac:dyDescent="0.3"/>
  <cols>
    <col min="1" max="1" width="90.6640625" bestFit="1" customWidth="1"/>
    <col min="2" max="2" width="10.21875" bestFit="1" customWidth="1"/>
    <col min="3" max="4" width="13.88671875" bestFit="1" customWidth="1"/>
    <col min="5" max="5" width="14.33203125" bestFit="1" customWidth="1"/>
    <col min="6" max="6" width="13.88671875" bestFit="1" customWidth="1"/>
    <col min="7" max="7" width="15" bestFit="1" customWidth="1"/>
    <col min="8" max="11" width="12.77734375" bestFit="1" customWidth="1"/>
    <col min="12" max="15" width="10.88671875" bestFit="1" customWidth="1"/>
  </cols>
  <sheetData>
    <row r="1" spans="1:15" ht="15" thickBot="1" x14ac:dyDescent="0.35">
      <c r="A1" s="263" t="s">
        <v>0</v>
      </c>
      <c r="B1" s="93"/>
      <c r="C1" s="285" t="s">
        <v>1</v>
      </c>
      <c r="D1" s="286"/>
      <c r="E1" s="286"/>
      <c r="F1" s="287"/>
      <c r="G1" s="268" t="s">
        <v>2</v>
      </c>
      <c r="H1" s="269"/>
      <c r="I1" s="269"/>
      <c r="J1" s="269"/>
      <c r="K1" s="270"/>
    </row>
    <row r="2" spans="1:15" ht="18.600000000000001" thickBot="1" x14ac:dyDescent="0.4">
      <c r="A2" s="264"/>
      <c r="B2" s="93" t="s">
        <v>3</v>
      </c>
      <c r="C2" s="94">
        <v>2022</v>
      </c>
      <c r="D2" s="95">
        <f>C2+1</f>
        <v>2023</v>
      </c>
      <c r="E2" s="95">
        <f t="shared" ref="E2:K2" si="0">D2+1</f>
        <v>2024</v>
      </c>
      <c r="F2" s="96">
        <f t="shared" si="0"/>
        <v>2025</v>
      </c>
      <c r="G2" s="89">
        <f t="shared" si="0"/>
        <v>2026</v>
      </c>
      <c r="H2" s="90">
        <f t="shared" si="0"/>
        <v>2027</v>
      </c>
      <c r="I2" s="90">
        <f t="shared" si="0"/>
        <v>2028</v>
      </c>
      <c r="J2" s="90">
        <f t="shared" si="0"/>
        <v>2029</v>
      </c>
      <c r="K2" s="91">
        <f t="shared" si="0"/>
        <v>2030</v>
      </c>
    </row>
    <row r="3" spans="1:15" x14ac:dyDescent="0.3">
      <c r="A3" s="3" t="s">
        <v>4</v>
      </c>
      <c r="B3" s="112" t="s">
        <v>42</v>
      </c>
      <c r="C3" s="17"/>
      <c r="E3" s="37"/>
      <c r="F3" s="17"/>
    </row>
    <row r="4" spans="1:15" x14ac:dyDescent="0.3">
      <c r="A4" s="3" t="s">
        <v>5</v>
      </c>
      <c r="C4" s="18"/>
      <c r="F4" s="18"/>
    </row>
    <row r="5" spans="1:15" x14ac:dyDescent="0.3">
      <c r="A5" t="s">
        <v>6</v>
      </c>
      <c r="C5" s="11">
        <v>2583.8000000000002</v>
      </c>
      <c r="D5" s="25">
        <v>4579.3</v>
      </c>
      <c r="E5" s="38">
        <v>1085</v>
      </c>
      <c r="F5" s="19">
        <v>774</v>
      </c>
      <c r="G5" s="216">
        <f ca="1">CFS!C44</f>
        <v>1516.3787802023908</v>
      </c>
      <c r="H5" s="216">
        <f ca="1">CFS!D44</f>
        <v>3918.6640255798966</v>
      </c>
      <c r="I5" s="216">
        <f ca="1">CFS!E44</f>
        <v>4733.6335441735509</v>
      </c>
      <c r="J5" s="216">
        <f ca="1">CFS!F44</f>
        <v>5108.8647897031524</v>
      </c>
      <c r="K5" s="216">
        <f ca="1">CFS!G44</f>
        <v>5247.496109927547</v>
      </c>
    </row>
    <row r="6" spans="1:15" x14ac:dyDescent="0.3">
      <c r="A6" t="s">
        <v>7</v>
      </c>
      <c r="C6" s="11">
        <v>2115</v>
      </c>
      <c r="D6" s="25">
        <v>2488</v>
      </c>
      <c r="E6" s="38">
        <v>2383</v>
      </c>
      <c r="F6" s="19">
        <v>2466</v>
      </c>
      <c r="G6" s="30">
        <f>G52</f>
        <v>2636.6822805923007</v>
      </c>
      <c r="H6" s="30">
        <f t="shared" ref="H6:K6" si="1">H52</f>
        <v>2768.6065111112493</v>
      </c>
      <c r="I6" s="30">
        <f t="shared" si="1"/>
        <v>2880.5414829196284</v>
      </c>
      <c r="J6" s="30">
        <f t="shared" si="1"/>
        <v>3041.7833603478039</v>
      </c>
      <c r="K6" s="30">
        <f t="shared" si="1"/>
        <v>3231.3577472357083</v>
      </c>
    </row>
    <row r="7" spans="1:15" x14ac:dyDescent="0.3">
      <c r="A7" t="s">
        <v>8</v>
      </c>
      <c r="C7" s="11">
        <v>52</v>
      </c>
      <c r="D7" s="25">
        <v>52.8</v>
      </c>
      <c r="E7" s="38">
        <v>56</v>
      </c>
      <c r="F7" s="19">
        <v>61</v>
      </c>
      <c r="G7" s="30">
        <f>G56</f>
        <v>61.898393859556222</v>
      </c>
      <c r="H7" s="30">
        <f t="shared" ref="H7:K7" si="2">H56</f>
        <v>64.247324277842864</v>
      </c>
      <c r="I7" s="30">
        <f t="shared" si="2"/>
        <v>68.351330754152173</v>
      </c>
      <c r="J7" s="30">
        <f t="shared" si="2"/>
        <v>72.345774835235829</v>
      </c>
      <c r="K7" s="30">
        <f t="shared" si="2"/>
        <v>76.091079639220666</v>
      </c>
    </row>
    <row r="8" spans="1:15" x14ac:dyDescent="0.3">
      <c r="A8" t="s">
        <v>9</v>
      </c>
      <c r="C8" s="11">
        <v>673.4</v>
      </c>
      <c r="D8" s="25">
        <v>866.3</v>
      </c>
      <c r="E8" s="38">
        <v>1074</v>
      </c>
      <c r="F8" s="19">
        <v>863</v>
      </c>
      <c r="G8" s="30">
        <f>G61</f>
        <v>967.40734412491452</v>
      </c>
      <c r="H8" s="30">
        <f t="shared" ref="H8:K8" si="3">H61</f>
        <v>1047.5718180720787</v>
      </c>
      <c r="I8" s="30">
        <f t="shared" si="3"/>
        <v>1112.8796827708704</v>
      </c>
      <c r="J8" s="30">
        <f t="shared" si="3"/>
        <v>1126.7910255254799</v>
      </c>
      <c r="K8" s="30">
        <f t="shared" si="3"/>
        <v>1213.4317121993022</v>
      </c>
    </row>
    <row r="9" spans="1:15" x14ac:dyDescent="0.3">
      <c r="A9" s="7" t="s">
        <v>10</v>
      </c>
      <c r="B9" s="6"/>
      <c r="C9" s="13">
        <f>SUM(C5:C8)</f>
        <v>5424.2</v>
      </c>
      <c r="D9" s="26">
        <f>SUM(D5:D8)</f>
        <v>7986.4000000000005</v>
      </c>
      <c r="E9" s="14">
        <f>SUM(E5:E8)</f>
        <v>4598</v>
      </c>
      <c r="F9" s="20">
        <f>SUM(F5:F8)</f>
        <v>4164</v>
      </c>
      <c r="G9" s="20">
        <f t="shared" ref="G9:H9" ca="1" si="4">SUM(G5:G8)</f>
        <v>5182.3667987791623</v>
      </c>
      <c r="H9" s="20">
        <f t="shared" ca="1" si="4"/>
        <v>7799.0896790410679</v>
      </c>
      <c r="I9" s="20">
        <f t="shared" ref="I9" ca="1" si="5">SUM(I5:I8)</f>
        <v>8795.4060406182016</v>
      </c>
      <c r="J9" s="20">
        <f t="shared" ref="J9" ca="1" si="6">SUM(J5:J8)</f>
        <v>9349.7849504116712</v>
      </c>
      <c r="K9" s="20">
        <f t="shared" ref="K9" ca="1" si="7">SUM(K5:K8)</f>
        <v>9768.3766490017788</v>
      </c>
    </row>
    <row r="10" spans="1:15" x14ac:dyDescent="0.3">
      <c r="A10" s="3" t="s">
        <v>11</v>
      </c>
      <c r="C10" s="11"/>
      <c r="D10" s="25"/>
      <c r="E10" s="16"/>
      <c r="F10" s="21"/>
      <c r="H10" s="12"/>
      <c r="I10" s="12"/>
      <c r="J10" s="12"/>
      <c r="K10" s="12"/>
    </row>
    <row r="11" spans="1:15" x14ac:dyDescent="0.3">
      <c r="A11" t="s">
        <v>12</v>
      </c>
      <c r="C11" s="11">
        <v>1064.5</v>
      </c>
      <c r="D11" s="25">
        <v>1080.2</v>
      </c>
      <c r="E11" s="38">
        <v>2710</v>
      </c>
      <c r="F11" s="19">
        <v>2820</v>
      </c>
      <c r="G11" s="30">
        <f>F11</f>
        <v>2820</v>
      </c>
      <c r="H11" s="30">
        <f t="shared" ref="H11:K11" si="8">G11</f>
        <v>2820</v>
      </c>
      <c r="I11" s="30">
        <f t="shared" si="8"/>
        <v>2820</v>
      </c>
      <c r="J11" s="30">
        <f t="shared" si="8"/>
        <v>2820</v>
      </c>
      <c r="K11" s="30">
        <f t="shared" si="8"/>
        <v>2820</v>
      </c>
      <c r="L11" s="30"/>
      <c r="N11" s="9"/>
      <c r="O11" s="9"/>
    </row>
    <row r="12" spans="1:15" x14ac:dyDescent="0.3">
      <c r="A12" t="s">
        <v>13</v>
      </c>
      <c r="C12" s="11">
        <v>2900.4</v>
      </c>
      <c r="D12" s="25">
        <v>3040.4</v>
      </c>
      <c r="E12" s="38">
        <v>3145</v>
      </c>
      <c r="F12" s="19">
        <v>3354</v>
      </c>
      <c r="G12" s="30">
        <f>F12</f>
        <v>3354</v>
      </c>
      <c r="H12" s="30">
        <f t="shared" ref="H12:K12" si="9">G12</f>
        <v>3354</v>
      </c>
      <c r="I12" s="30">
        <f t="shared" si="9"/>
        <v>3354</v>
      </c>
      <c r="J12" s="30">
        <f t="shared" si="9"/>
        <v>3354</v>
      </c>
      <c r="K12" s="30">
        <f t="shared" si="9"/>
        <v>3354</v>
      </c>
      <c r="L12" s="30"/>
    </row>
    <row r="13" spans="1:15" x14ac:dyDescent="0.3">
      <c r="A13" t="s">
        <v>14</v>
      </c>
      <c r="C13" s="11">
        <v>4707.2</v>
      </c>
      <c r="D13" s="25">
        <v>5617.8</v>
      </c>
      <c r="E13" s="38">
        <v>6095</v>
      </c>
      <c r="F13" s="19">
        <v>6331</v>
      </c>
      <c r="G13" s="30">
        <f>F13</f>
        <v>6331</v>
      </c>
      <c r="H13" s="30">
        <f t="shared" ref="H13:K13" si="10">G13</f>
        <v>6331</v>
      </c>
      <c r="I13" s="30">
        <f t="shared" si="10"/>
        <v>6331</v>
      </c>
      <c r="J13" s="30">
        <f t="shared" si="10"/>
        <v>6331</v>
      </c>
      <c r="K13" s="30">
        <f t="shared" si="10"/>
        <v>6331</v>
      </c>
    </row>
    <row r="14" spans="1:15" x14ac:dyDescent="0.3">
      <c r="A14" t="s">
        <v>15</v>
      </c>
      <c r="C14" s="11">
        <v>12565.7</v>
      </c>
      <c r="D14" s="25">
        <v>13514.4</v>
      </c>
      <c r="E14" s="38">
        <v>13339</v>
      </c>
      <c r="F14" s="19">
        <v>14606</v>
      </c>
      <c r="G14" s="30">
        <f>G75</f>
        <v>15077.715783598065</v>
      </c>
      <c r="H14" s="30">
        <f t="shared" ref="H14:K14" si="11">H75</f>
        <v>15752.174289977182</v>
      </c>
      <c r="I14" s="30">
        <f t="shared" si="11"/>
        <v>16565.945741909905</v>
      </c>
      <c r="J14" s="30">
        <f t="shared" si="11"/>
        <v>17462.251754908215</v>
      </c>
      <c r="K14" s="30">
        <f t="shared" si="11"/>
        <v>18499.037105675794</v>
      </c>
    </row>
    <row r="15" spans="1:15" x14ac:dyDescent="0.3">
      <c r="A15" t="s">
        <v>16</v>
      </c>
      <c r="C15" s="11">
        <v>41037.599999999999</v>
      </c>
      <c r="D15" s="25">
        <v>43570</v>
      </c>
      <c r="E15" s="38">
        <v>44177</v>
      </c>
      <c r="F15" s="19">
        <v>49290</v>
      </c>
      <c r="G15" s="12">
        <f>Capex!G6</f>
        <v>49626.425768582536</v>
      </c>
      <c r="H15" s="12">
        <f>Capex!H6</f>
        <v>51718.656827595696</v>
      </c>
      <c r="I15" s="12">
        <f>Capex!I6</f>
        <v>54705.26768799642</v>
      </c>
      <c r="J15" s="12">
        <f>Capex!J6</f>
        <v>58126.584958559535</v>
      </c>
      <c r="K15" s="12">
        <f>Capex!K6</f>
        <v>61071.165636507954</v>
      </c>
    </row>
    <row r="16" spans="1:15" x14ac:dyDescent="0.3">
      <c r="A16" t="s">
        <v>17</v>
      </c>
      <c r="C16" s="11">
        <v>-17264</v>
      </c>
      <c r="D16" s="25">
        <v>-18662.400000000001</v>
      </c>
      <c r="E16" s="38">
        <v>-18882</v>
      </c>
      <c r="F16" s="19">
        <v>-21049</v>
      </c>
      <c r="G16" s="12">
        <f>Capex!G7</f>
        <v>-22194.767346817749</v>
      </c>
      <c r="H16" s="12">
        <f>Capex!H7</f>
        <v>-23388.839805121745</v>
      </c>
      <c r="I16" s="12">
        <f>Capex!I7</f>
        <v>-24651.866679314073</v>
      </c>
      <c r="J16" s="12">
        <f>Capex!J7</f>
        <v>-25993.884404670956</v>
      </c>
      <c r="K16" s="12">
        <f>Capex!K7</f>
        <v>-27403.886159476111</v>
      </c>
    </row>
    <row r="17" spans="1:15" ht="15" thickBot="1" x14ac:dyDescent="0.35">
      <c r="A17" s="10" t="s">
        <v>18</v>
      </c>
      <c r="B17" s="8"/>
      <c r="C17" s="15">
        <f>C9+SUM(C11:C16)</f>
        <v>50435.6</v>
      </c>
      <c r="D17" s="27">
        <f>D9+SUM(D11:D16)</f>
        <v>56146.8</v>
      </c>
      <c r="E17" s="15">
        <f>E9+SUM(E11:E16)</f>
        <v>55182</v>
      </c>
      <c r="F17" s="22">
        <f>F9+SUM(F11:F16)</f>
        <v>59516</v>
      </c>
      <c r="G17" s="15">
        <f t="shared" ref="G17:K17" ca="1" si="12">G9+SUM(G11:G16)</f>
        <v>60196.741004142015</v>
      </c>
      <c r="H17" s="15">
        <f t="shared" ca="1" si="12"/>
        <v>64386.080991492199</v>
      </c>
      <c r="I17" s="15">
        <f t="shared" ca="1" si="12"/>
        <v>67919.752791210442</v>
      </c>
      <c r="J17" s="15">
        <f t="shared" ca="1" si="12"/>
        <v>71449.737259208472</v>
      </c>
      <c r="K17" s="15">
        <f t="shared" ca="1" si="12"/>
        <v>74439.693231709418</v>
      </c>
    </row>
    <row r="18" spans="1:15" x14ac:dyDescent="0.3">
      <c r="C18" s="12"/>
      <c r="D18" s="28"/>
      <c r="E18" s="16"/>
      <c r="F18" s="21"/>
      <c r="G18" s="30"/>
      <c r="H18" s="12"/>
      <c r="I18" s="12"/>
      <c r="J18" s="12"/>
      <c r="K18" s="12"/>
    </row>
    <row r="19" spans="1:15" x14ac:dyDescent="0.3">
      <c r="A19" s="3" t="s">
        <v>37</v>
      </c>
      <c r="C19" s="16"/>
      <c r="D19" s="28"/>
      <c r="E19" s="16"/>
      <c r="F19" s="21"/>
      <c r="H19" s="16"/>
      <c r="I19" s="16"/>
      <c r="J19" s="16"/>
      <c r="K19" s="16"/>
    </row>
    <row r="20" spans="1:15" x14ac:dyDescent="0.3">
      <c r="A20" t="s">
        <v>19</v>
      </c>
      <c r="C20" s="16"/>
      <c r="D20" s="28"/>
      <c r="E20" s="16"/>
      <c r="F20" s="21"/>
      <c r="H20" s="16"/>
      <c r="I20" s="16"/>
      <c r="J20" s="16"/>
      <c r="K20" s="16"/>
    </row>
    <row r="21" spans="1:15" x14ac:dyDescent="0.3">
      <c r="A21" t="s">
        <v>41</v>
      </c>
      <c r="C21" s="11">
        <v>0</v>
      </c>
      <c r="D21" s="25">
        <v>2192.4</v>
      </c>
      <c r="E21" s="38">
        <v>0</v>
      </c>
      <c r="F21" s="19">
        <v>0</v>
      </c>
      <c r="G21" s="30">
        <f>F21</f>
        <v>0</v>
      </c>
      <c r="H21" s="30">
        <f t="shared" ref="H21:K21" si="13">G21</f>
        <v>0</v>
      </c>
      <c r="I21" s="30">
        <f t="shared" si="13"/>
        <v>0</v>
      </c>
      <c r="J21" s="30">
        <f t="shared" si="13"/>
        <v>0</v>
      </c>
      <c r="K21" s="30">
        <f t="shared" si="13"/>
        <v>0</v>
      </c>
      <c r="N21" s="9"/>
      <c r="O21" s="9"/>
    </row>
    <row r="22" spans="1:15" x14ac:dyDescent="0.3">
      <c r="A22" t="s">
        <v>20</v>
      </c>
      <c r="C22" s="11">
        <v>980.2</v>
      </c>
      <c r="D22" s="25">
        <v>1102.9000000000001</v>
      </c>
      <c r="E22" s="38">
        <v>1029</v>
      </c>
      <c r="F22" s="19">
        <v>1149</v>
      </c>
      <c r="G22" s="30">
        <f>F22*(1+G66)</f>
        <v>1155.6461163299441</v>
      </c>
      <c r="H22" s="30">
        <f t="shared" ref="H22:K22" si="14">G22*(1+H66)</f>
        <v>1207.2810396403058</v>
      </c>
      <c r="I22" s="30">
        <f t="shared" si="14"/>
        <v>1254.7278925990136</v>
      </c>
      <c r="J22" s="30">
        <f t="shared" si="14"/>
        <v>1350.330565541957</v>
      </c>
      <c r="K22" s="30">
        <f t="shared" si="14"/>
        <v>1416.8399345641224</v>
      </c>
      <c r="N22" s="5"/>
      <c r="O22" s="5"/>
    </row>
    <row r="23" spans="1:15" x14ac:dyDescent="0.3">
      <c r="A23" t="s">
        <v>21</v>
      </c>
      <c r="C23" s="11">
        <v>661.1</v>
      </c>
      <c r="D23" s="25">
        <v>688.1</v>
      </c>
      <c r="E23" s="38">
        <v>636</v>
      </c>
      <c r="F23" s="19">
        <v>694</v>
      </c>
      <c r="G23" s="217">
        <v>1321</v>
      </c>
      <c r="H23" s="11">
        <v>1289</v>
      </c>
      <c r="I23" s="11">
        <v>1239</v>
      </c>
      <c r="J23" s="11">
        <v>1201</v>
      </c>
      <c r="K23" s="11">
        <v>1156</v>
      </c>
    </row>
    <row r="24" spans="1:15" x14ac:dyDescent="0.3">
      <c r="A24" t="s">
        <v>22</v>
      </c>
      <c r="C24" s="11">
        <v>274.89999999999998</v>
      </c>
      <c r="D24" s="25">
        <v>705.1</v>
      </c>
      <c r="E24" s="38">
        <v>361</v>
      </c>
      <c r="F24" s="19">
        <v>250</v>
      </c>
      <c r="G24" s="30">
        <f ca="1">F24*(1+G70)</f>
        <v>397.55718364775947</v>
      </c>
      <c r="H24" s="30">
        <f t="shared" ref="H24:K24" ca="1" si="15">G24*(1+H70)</f>
        <v>411.09215384036247</v>
      </c>
      <c r="I24" s="30">
        <f t="shared" ca="1" si="15"/>
        <v>386.82855057246701</v>
      </c>
      <c r="J24" s="30">
        <f t="shared" ca="1" si="15"/>
        <v>415.00865650478556</v>
      </c>
      <c r="K24" s="30">
        <f t="shared" ca="1" si="15"/>
        <v>463.55410059014127</v>
      </c>
    </row>
    <row r="25" spans="1:15" x14ac:dyDescent="0.3">
      <c r="A25" t="s">
        <v>23</v>
      </c>
      <c r="C25" s="11">
        <v>255.1</v>
      </c>
      <c r="D25" s="25">
        <v>268</v>
      </c>
      <c r="E25" s="38">
        <v>224</v>
      </c>
      <c r="F25" s="19">
        <v>247</v>
      </c>
      <c r="G25" s="30">
        <f ca="1">F25*(1+G70)</f>
        <v>392.78649744398638</v>
      </c>
      <c r="H25" s="30">
        <f t="shared" ref="H25:K25" ca="1" si="16">G25*(1+H70)</f>
        <v>406.15904799427813</v>
      </c>
      <c r="I25" s="30">
        <f t="shared" ca="1" si="16"/>
        <v>382.18660796559737</v>
      </c>
      <c r="J25" s="30">
        <f t="shared" ca="1" si="16"/>
        <v>410.02855262672807</v>
      </c>
      <c r="K25" s="30">
        <f t="shared" ca="1" si="16"/>
        <v>457.99145138305948</v>
      </c>
    </row>
    <row r="26" spans="1:15" x14ac:dyDescent="0.3">
      <c r="A26" t="s">
        <v>24</v>
      </c>
      <c r="C26" s="11">
        <v>393.4</v>
      </c>
      <c r="D26" s="25">
        <v>468.9</v>
      </c>
      <c r="E26" s="38">
        <v>482</v>
      </c>
      <c r="F26" s="19">
        <v>533</v>
      </c>
      <c r="G26" s="30">
        <f>F26*(1+G66)</f>
        <v>536.08301131754581</v>
      </c>
      <c r="H26" s="30">
        <f t="shared" ref="H26:K26" si="17">G26*(1+H66)</f>
        <v>560.03550402809663</v>
      </c>
      <c r="I26" s="30">
        <f t="shared" si="17"/>
        <v>582.04522781137882</v>
      </c>
      <c r="J26" s="30">
        <f t="shared" si="17"/>
        <v>626.39355216176079</v>
      </c>
      <c r="K26" s="30">
        <f t="shared" si="17"/>
        <v>657.24602708675138</v>
      </c>
    </row>
    <row r="27" spans="1:15" x14ac:dyDescent="0.3">
      <c r="A27" t="s">
        <v>25</v>
      </c>
      <c r="C27" s="11">
        <v>1237.4000000000001</v>
      </c>
      <c r="D27" s="25">
        <v>1433.6</v>
      </c>
      <c r="E27" s="38">
        <v>1129</v>
      </c>
      <c r="F27" s="19">
        <v>1488</v>
      </c>
      <c r="G27" s="30">
        <f>F27*(1+G66)</f>
        <v>1496.6069809390399</v>
      </c>
      <c r="H27" s="30">
        <f t="shared" ref="H27:K27" si="18">G27*(1+H66)</f>
        <v>1563.4762288814406</v>
      </c>
      <c r="I27" s="30">
        <f t="shared" si="18"/>
        <v>1624.9217616948063</v>
      </c>
      <c r="J27" s="30">
        <f t="shared" si="18"/>
        <v>1748.730967385929</v>
      </c>
      <c r="K27" s="30">
        <f t="shared" si="18"/>
        <v>1834.8632050752085</v>
      </c>
      <c r="L27" s="9"/>
      <c r="M27" s="9"/>
    </row>
    <row r="28" spans="1:15" x14ac:dyDescent="0.3">
      <c r="A28" s="7" t="s">
        <v>26</v>
      </c>
      <c r="B28" s="6"/>
      <c r="C28" s="13">
        <f>SUM(C21:C27)</f>
        <v>3802.1000000000004</v>
      </c>
      <c r="D28" s="26">
        <f>SUM(D21:D27)</f>
        <v>6859</v>
      </c>
      <c r="E28" s="13">
        <f>SUM(E21:E27)</f>
        <v>3861</v>
      </c>
      <c r="F28" s="23">
        <f>SUM(F21:F27)</f>
        <v>4361</v>
      </c>
      <c r="G28" s="14">
        <f t="shared" ref="G28:H28" ca="1" si="19">SUM(G21:G27)</f>
        <v>5299.6797896782755</v>
      </c>
      <c r="H28" s="14">
        <f t="shared" ca="1" si="19"/>
        <v>5437.0439743844836</v>
      </c>
      <c r="I28" s="14">
        <f t="shared" ref="I28" ca="1" si="20">SUM(I21:I27)</f>
        <v>5469.7100406432637</v>
      </c>
      <c r="J28" s="14">
        <f t="shared" ref="J28" ca="1" si="21">SUM(J21:J27)</f>
        <v>5751.4922942211606</v>
      </c>
      <c r="K28" s="14">
        <f t="shared" ref="K28" ca="1" si="22">SUM(K21:K27)</f>
        <v>5986.4947186992831</v>
      </c>
    </row>
    <row r="29" spans="1:15" x14ac:dyDescent="0.3">
      <c r="A29" t="s">
        <v>27</v>
      </c>
      <c r="C29" s="11">
        <v>35903.5</v>
      </c>
      <c r="D29" s="25">
        <v>37152.9</v>
      </c>
      <c r="E29" s="38">
        <v>38424</v>
      </c>
      <c r="F29" s="19">
        <v>39973</v>
      </c>
      <c r="G29" s="30">
        <f>Debt!C8</f>
        <v>37669.210544910893</v>
      </c>
      <c r="H29" s="30">
        <f>Debt!D8</f>
        <v>38942.480088417462</v>
      </c>
      <c r="I29" s="30">
        <f>Debt!E8</f>
        <v>40153.150338211213</v>
      </c>
      <c r="J29" s="30">
        <f>Debt!F8</f>
        <v>41624.253452243909</v>
      </c>
      <c r="K29" s="30">
        <f>Debt!G8</f>
        <v>43181.42926934101</v>
      </c>
    </row>
    <row r="30" spans="1:15" x14ac:dyDescent="0.3">
      <c r="A30" t="s">
        <v>28</v>
      </c>
      <c r="C30" s="11">
        <v>12134.4</v>
      </c>
      <c r="D30" s="25">
        <v>13057.7</v>
      </c>
      <c r="E30" s="38">
        <v>12887.5</v>
      </c>
      <c r="F30" s="19">
        <v>14147</v>
      </c>
      <c r="G30" s="30">
        <f>AVERAGE(C30:F30)</f>
        <v>13056.65</v>
      </c>
      <c r="H30" s="12">
        <f>G30</f>
        <v>13056.65</v>
      </c>
      <c r="I30" s="12">
        <f t="shared" ref="I30:K30" si="23">H30</f>
        <v>13056.65</v>
      </c>
      <c r="J30" s="12">
        <f t="shared" si="23"/>
        <v>13056.65</v>
      </c>
      <c r="K30" s="12">
        <f t="shared" si="23"/>
        <v>13056.65</v>
      </c>
    </row>
    <row r="31" spans="1:15" x14ac:dyDescent="0.3">
      <c r="A31" t="s">
        <v>29</v>
      </c>
      <c r="C31" s="11">
        <v>791.9</v>
      </c>
      <c r="D31" s="25">
        <v>363.2</v>
      </c>
      <c r="E31" s="38">
        <v>343.5</v>
      </c>
      <c r="F31" s="19">
        <v>139</v>
      </c>
      <c r="G31" s="30">
        <f>F31</f>
        <v>139</v>
      </c>
      <c r="H31" s="30">
        <f t="shared" ref="H31:K31" si="24">G31</f>
        <v>139</v>
      </c>
      <c r="I31" s="30">
        <f t="shared" si="24"/>
        <v>139</v>
      </c>
      <c r="J31" s="30">
        <f t="shared" si="24"/>
        <v>139</v>
      </c>
      <c r="K31" s="30">
        <f t="shared" si="24"/>
        <v>139</v>
      </c>
    </row>
    <row r="32" spans="1:15" x14ac:dyDescent="0.3">
      <c r="A32" t="s">
        <v>30</v>
      </c>
      <c r="C32" s="11">
        <v>757.8</v>
      </c>
      <c r="D32" s="25">
        <v>790.1</v>
      </c>
      <c r="E32" s="38">
        <v>777.5</v>
      </c>
      <c r="F32" s="19">
        <v>944.5</v>
      </c>
      <c r="G32" s="30">
        <f>AVERAGE(C32:F32)</f>
        <v>817.47500000000002</v>
      </c>
      <c r="H32" s="12">
        <f>G32</f>
        <v>817.47500000000002</v>
      </c>
      <c r="I32" s="12">
        <f t="shared" ref="I32:K32" si="25">H32</f>
        <v>817.47500000000002</v>
      </c>
      <c r="J32" s="12">
        <f t="shared" si="25"/>
        <v>817.47500000000002</v>
      </c>
      <c r="K32" s="12">
        <f t="shared" si="25"/>
        <v>817.47500000000002</v>
      </c>
    </row>
    <row r="33" spans="1:13" x14ac:dyDescent="0.3">
      <c r="A33" t="s">
        <v>31</v>
      </c>
      <c r="C33" s="11">
        <v>1051.8</v>
      </c>
      <c r="D33" s="25">
        <v>949.7</v>
      </c>
      <c r="E33" s="38">
        <v>770.5</v>
      </c>
      <c r="F33" s="19">
        <v>703.5</v>
      </c>
      <c r="G33" s="30">
        <f>F33</f>
        <v>703.5</v>
      </c>
      <c r="H33" s="30">
        <f t="shared" ref="H33:K33" si="26">G33</f>
        <v>703.5</v>
      </c>
      <c r="I33" s="30">
        <f t="shared" si="26"/>
        <v>703.5</v>
      </c>
      <c r="J33" s="30">
        <f t="shared" si="26"/>
        <v>703.5</v>
      </c>
      <c r="K33" s="30">
        <f t="shared" si="26"/>
        <v>703.5</v>
      </c>
      <c r="M33" s="30"/>
    </row>
    <row r="34" spans="1:13" x14ac:dyDescent="0.3">
      <c r="A34" t="s">
        <v>32</v>
      </c>
      <c r="C34" s="11">
        <v>1997.5</v>
      </c>
      <c r="D34" s="25">
        <v>1680.9</v>
      </c>
      <c r="E34" s="38">
        <v>1914</v>
      </c>
      <c r="F34" s="19">
        <v>1038</v>
      </c>
      <c r="G34" s="30">
        <f>F34</f>
        <v>1038</v>
      </c>
      <c r="H34" s="30">
        <f t="shared" ref="H34:K34" si="27">G34</f>
        <v>1038</v>
      </c>
      <c r="I34" s="30">
        <f t="shared" si="27"/>
        <v>1038</v>
      </c>
      <c r="J34" s="30">
        <f t="shared" si="27"/>
        <v>1038</v>
      </c>
      <c r="K34" s="30">
        <f t="shared" si="27"/>
        <v>1038</v>
      </c>
    </row>
    <row r="35" spans="1:13" x14ac:dyDescent="0.3">
      <c r="C35" s="11"/>
      <c r="D35" s="25"/>
      <c r="E35" s="16"/>
      <c r="F35" s="21"/>
      <c r="H35" s="12"/>
      <c r="I35" s="12"/>
      <c r="J35" s="12"/>
      <c r="K35" s="12"/>
    </row>
    <row r="36" spans="1:13" x14ac:dyDescent="0.3">
      <c r="A36" t="s">
        <v>38</v>
      </c>
      <c r="C36" s="11">
        <v>0</v>
      </c>
      <c r="D36" s="25">
        <v>0</v>
      </c>
      <c r="E36" s="38">
        <v>0</v>
      </c>
      <c r="F36" s="38">
        <v>0</v>
      </c>
      <c r="G36" s="218">
        <v>0</v>
      </c>
      <c r="H36" s="218">
        <v>0</v>
      </c>
      <c r="I36" s="218">
        <v>0</v>
      </c>
      <c r="J36" s="218">
        <v>0</v>
      </c>
      <c r="K36" s="218">
        <v>0</v>
      </c>
    </row>
    <row r="37" spans="1:13" x14ac:dyDescent="0.3">
      <c r="A37" t="s">
        <v>39</v>
      </c>
      <c r="C37" s="11">
        <v>16.600000000000001</v>
      </c>
      <c r="D37" s="25">
        <v>16.600000000000001</v>
      </c>
      <c r="E37" s="38">
        <v>17</v>
      </c>
      <c r="F37" s="19">
        <v>17</v>
      </c>
      <c r="G37" s="30">
        <f>F37</f>
        <v>17</v>
      </c>
      <c r="H37" s="30">
        <f t="shared" ref="H37:K37" si="28">G37</f>
        <v>17</v>
      </c>
      <c r="I37" s="30">
        <f t="shared" si="28"/>
        <v>17</v>
      </c>
      <c r="J37" s="30">
        <f t="shared" si="28"/>
        <v>17</v>
      </c>
      <c r="K37" s="30">
        <f t="shared" si="28"/>
        <v>17</v>
      </c>
    </row>
    <row r="38" spans="1:13" x14ac:dyDescent="0.3">
      <c r="A38" t="s">
        <v>33</v>
      </c>
      <c r="C38" s="11">
        <v>8547.1</v>
      </c>
      <c r="D38" s="25">
        <v>8892.9</v>
      </c>
      <c r="E38" s="38">
        <v>9281</v>
      </c>
      <c r="F38" s="19">
        <v>9641</v>
      </c>
      <c r="G38" s="30">
        <f>F38</f>
        <v>9641</v>
      </c>
      <c r="H38" s="30">
        <f t="shared" ref="H38:K38" si="29">G38</f>
        <v>9641</v>
      </c>
      <c r="I38" s="30">
        <f t="shared" si="29"/>
        <v>9641</v>
      </c>
      <c r="J38" s="30">
        <f t="shared" si="29"/>
        <v>9641</v>
      </c>
      <c r="K38" s="30">
        <f t="shared" si="29"/>
        <v>9641</v>
      </c>
    </row>
    <row r="39" spans="1:13" x14ac:dyDescent="0.3">
      <c r="A39" t="s">
        <v>34</v>
      </c>
      <c r="C39" s="11">
        <v>59543.9</v>
      </c>
      <c r="D39" s="25">
        <v>63479.9</v>
      </c>
      <c r="E39" s="38">
        <v>66834</v>
      </c>
      <c r="F39" s="19">
        <v>70282</v>
      </c>
      <c r="G39" s="30">
        <f>F39+'P&amp;L'!G21-'P&amp;L'!G39</f>
        <v>73545.225669552849</v>
      </c>
      <c r="H39" s="30">
        <f>G39+'P&amp;L'!H21-'P&amp;L'!H39</f>
        <v>76323.931928690261</v>
      </c>
      <c r="I39" s="30">
        <f>H39+'P&amp;L'!I21-'P&amp;L'!I39</f>
        <v>78614.267412355985</v>
      </c>
      <c r="J39" s="30">
        <f>I39+'P&amp;L'!J21-'P&amp;L'!J39</f>
        <v>80391.366512743407</v>
      </c>
      <c r="K39" s="30">
        <f>J39+'P&amp;L'!K21-'P&amp;L'!K39</f>
        <v>81589.144243669143</v>
      </c>
    </row>
    <row r="40" spans="1:13" x14ac:dyDescent="0.3">
      <c r="A40" t="s">
        <v>35</v>
      </c>
      <c r="C40" s="11">
        <v>-2486.6</v>
      </c>
      <c r="D40" s="25">
        <v>-2456</v>
      </c>
      <c r="E40" s="38">
        <v>-2553</v>
      </c>
      <c r="F40" s="19">
        <v>-2414</v>
      </c>
      <c r="G40" s="30">
        <f>F40</f>
        <v>-2414</v>
      </c>
      <c r="H40" s="30">
        <f t="shared" ref="H40:K40" si="30">G40</f>
        <v>-2414</v>
      </c>
      <c r="I40" s="30">
        <f t="shared" si="30"/>
        <v>-2414</v>
      </c>
      <c r="J40" s="30">
        <f t="shared" si="30"/>
        <v>-2414</v>
      </c>
      <c r="K40" s="30">
        <f t="shared" si="30"/>
        <v>-2414</v>
      </c>
    </row>
    <row r="41" spans="1:13" x14ac:dyDescent="0.3">
      <c r="A41" t="s">
        <v>36</v>
      </c>
      <c r="C41" s="11">
        <v>-71624.399999999994</v>
      </c>
      <c r="D41" s="25">
        <v>-74640.100000000006</v>
      </c>
      <c r="E41" s="38">
        <v>-77375</v>
      </c>
      <c r="F41" s="19">
        <v>-79316</v>
      </c>
      <c r="G41" s="30">
        <f>F41</f>
        <v>-79316</v>
      </c>
      <c r="H41" s="30">
        <f t="shared" ref="H41:K41" si="31">G41</f>
        <v>-79316</v>
      </c>
      <c r="I41" s="30">
        <f t="shared" si="31"/>
        <v>-79316</v>
      </c>
      <c r="J41" s="30">
        <f t="shared" si="31"/>
        <v>-79316</v>
      </c>
      <c r="K41" s="30">
        <f t="shared" si="31"/>
        <v>-79316</v>
      </c>
    </row>
    <row r="42" spans="1:13" ht="15" thickBot="1" x14ac:dyDescent="0.35">
      <c r="A42" s="32" t="s">
        <v>40</v>
      </c>
      <c r="B42" s="8"/>
      <c r="C42" s="29">
        <f>SUM(C37:C41)</f>
        <v>-6003.3999999999942</v>
      </c>
      <c r="D42" s="29">
        <f>SUM(D37:D41)</f>
        <v>-4706.7000000000116</v>
      </c>
      <c r="E42" s="29">
        <f t="shared" ref="E42" si="32">SUM(E37:E41)</f>
        <v>-3796</v>
      </c>
      <c r="F42" s="24">
        <f t="shared" ref="F42" si="33">SUM(F37:F41)</f>
        <v>-1790</v>
      </c>
      <c r="G42" s="29">
        <f t="shared" ref="G42:H42" si="34">SUM(G37:G41)</f>
        <v>1473.2256695528486</v>
      </c>
      <c r="H42" s="29">
        <f t="shared" si="34"/>
        <v>4251.931928690261</v>
      </c>
      <c r="I42" s="29">
        <f t="shared" ref="I42" si="35">SUM(I37:I41)</f>
        <v>6542.2674123559846</v>
      </c>
      <c r="J42" s="29">
        <f t="shared" ref="J42" si="36">SUM(J37:J41)</f>
        <v>8319.3665127434069</v>
      </c>
      <c r="K42" s="29">
        <f t="shared" ref="K42" si="37">SUM(K37:K41)</f>
        <v>9517.1442436691432</v>
      </c>
      <c r="L42" s="5"/>
      <c r="M42" s="5"/>
    </row>
    <row r="43" spans="1:13" ht="15" thickBot="1" x14ac:dyDescent="0.35">
      <c r="A43" s="8" t="s">
        <v>43</v>
      </c>
      <c r="B43" s="33"/>
      <c r="C43" s="34">
        <f>C28+C42+SUM(C29:C34)</f>
        <v>50435.600000000013</v>
      </c>
      <c r="D43" s="35">
        <f>D28+D42+SUM(D29:D34)</f>
        <v>56146.799999999988</v>
      </c>
      <c r="E43" s="34">
        <f>E28+E42+SUM(E29:E34)</f>
        <v>55182</v>
      </c>
      <c r="F43" s="36">
        <f>F28+F42+SUM(F29:F34)</f>
        <v>59516</v>
      </c>
      <c r="G43" s="34">
        <f t="shared" ref="G43:K43" ca="1" si="38">G28+G42+SUM(G29:G34)</f>
        <v>60196.741004142015</v>
      </c>
      <c r="H43" s="34">
        <f t="shared" ca="1" si="38"/>
        <v>64386.080991492207</v>
      </c>
      <c r="I43" s="34">
        <f t="shared" ca="1" si="38"/>
        <v>67919.752791210456</v>
      </c>
      <c r="J43" s="34">
        <f t="shared" ca="1" si="38"/>
        <v>71449.737259208472</v>
      </c>
      <c r="K43" s="36">
        <f t="shared" ca="1" si="38"/>
        <v>74439.693231709432</v>
      </c>
    </row>
    <row r="45" spans="1:13" x14ac:dyDescent="0.3">
      <c r="A45" t="s">
        <v>44</v>
      </c>
      <c r="C45" s="30">
        <f>C17-C43</f>
        <v>0</v>
      </c>
      <c r="D45" s="30">
        <f>D17-D43</f>
        <v>0</v>
      </c>
      <c r="E45" s="30">
        <f>E17-E43</f>
        <v>0</v>
      </c>
      <c r="F45" s="30">
        <f>F17-F43</f>
        <v>0</v>
      </c>
      <c r="G45" s="30">
        <f t="shared" ref="G45" ca="1" si="39">G17-G43</f>
        <v>0</v>
      </c>
      <c r="H45" s="30">
        <f t="shared" ref="H45:K45" ca="1" si="40">H17-H43</f>
        <v>0</v>
      </c>
      <c r="I45" s="30">
        <f t="shared" ca="1" si="40"/>
        <v>0</v>
      </c>
      <c r="J45" s="30">
        <f t="shared" ca="1" si="40"/>
        <v>0</v>
      </c>
      <c r="K45" s="30">
        <f t="shared" ca="1" si="40"/>
        <v>0</v>
      </c>
    </row>
    <row r="47" spans="1:13" x14ac:dyDescent="0.3">
      <c r="A47" s="30"/>
      <c r="B47" s="30"/>
      <c r="C47" s="30"/>
      <c r="D47" s="30"/>
    </row>
    <row r="49" spans="1:14" x14ac:dyDescent="0.3">
      <c r="A49" s="31" t="s">
        <v>45</v>
      </c>
    </row>
    <row r="51" spans="1:14" x14ac:dyDescent="0.3">
      <c r="A51" s="39" t="s">
        <v>155</v>
      </c>
    </row>
    <row r="52" spans="1:14" x14ac:dyDescent="0.3">
      <c r="A52" s="43" t="s">
        <v>156</v>
      </c>
      <c r="C52" s="30">
        <f>C6</f>
        <v>2115</v>
      </c>
      <c r="D52" s="30">
        <f t="shared" ref="D52:F52" si="41">D6</f>
        <v>2488</v>
      </c>
      <c r="E52" s="30">
        <f t="shared" si="41"/>
        <v>2383</v>
      </c>
      <c r="F52" s="30">
        <f t="shared" si="41"/>
        <v>2466</v>
      </c>
      <c r="G52" s="30">
        <f>'P&amp;L'!G4/'Balance Sheet'!G53</f>
        <v>2636.6822805923007</v>
      </c>
      <c r="H52" s="30">
        <f>'P&amp;L'!H4/'Balance Sheet'!H53</f>
        <v>2768.6065111112493</v>
      </c>
      <c r="I52" s="30">
        <f>'P&amp;L'!I4/'Balance Sheet'!I53</f>
        <v>2880.5414829196284</v>
      </c>
      <c r="J52" s="30">
        <f>'P&amp;L'!J4/'Balance Sheet'!J53</f>
        <v>3041.7833603478039</v>
      </c>
      <c r="K52" s="30">
        <f>'P&amp;L'!K4/'Balance Sheet'!K53</f>
        <v>3231.3577472357083</v>
      </c>
    </row>
    <row r="53" spans="1:14" x14ac:dyDescent="0.3">
      <c r="A53" s="43" t="s">
        <v>157</v>
      </c>
      <c r="C53" s="12">
        <f>'P&amp;L'!C4/C52</f>
        <v>10.961229314420804</v>
      </c>
      <c r="D53" s="12">
        <f>'P&amp;L'!D4/D52</f>
        <v>10.246784565916398</v>
      </c>
      <c r="E53" s="12">
        <f>'P&amp;L'!E4/E52</f>
        <v>10.87704574066303</v>
      </c>
      <c r="F53" s="12">
        <f>'P&amp;L'!F4/F52</f>
        <v>10.902145174371453</v>
      </c>
      <c r="G53" s="30">
        <f>365/G54</f>
        <v>10.738715456858955</v>
      </c>
      <c r="H53" s="30">
        <f t="shared" ref="H53:K53" si="42">365/H54</f>
        <v>10.684491442862868</v>
      </c>
      <c r="I53" s="30">
        <f t="shared" si="42"/>
        <v>10.799824142269065</v>
      </c>
      <c r="J53" s="30">
        <f t="shared" si="42"/>
        <v>10.78068976251422</v>
      </c>
      <c r="K53" s="30">
        <f t="shared" si="42"/>
        <v>10.750747571020545</v>
      </c>
    </row>
    <row r="54" spans="1:14" x14ac:dyDescent="0.3">
      <c r="A54" s="43" t="s">
        <v>158</v>
      </c>
      <c r="C54" s="30">
        <f>365/C53</f>
        <v>33.299184747444251</v>
      </c>
      <c r="D54" s="30">
        <f t="shared" ref="D54:F54" si="43">365/D53</f>
        <v>35.620930414999613</v>
      </c>
      <c r="E54" s="30">
        <f t="shared" si="43"/>
        <v>33.556905864197532</v>
      </c>
      <c r="F54" s="30">
        <f t="shared" si="43"/>
        <v>33.479649570071288</v>
      </c>
      <c r="G54" s="30">
        <f>AVERAGE(C54:F54)</f>
        <v>33.989167649178171</v>
      </c>
      <c r="H54" s="30">
        <f t="shared" ref="H54:K54" si="44">AVERAGE(D54:G54)</f>
        <v>34.161663374611649</v>
      </c>
      <c r="I54" s="30">
        <f t="shared" si="44"/>
        <v>33.796846614514664</v>
      </c>
      <c r="J54" s="30">
        <f t="shared" si="44"/>
        <v>33.856831802093943</v>
      </c>
      <c r="K54" s="30">
        <f t="shared" si="44"/>
        <v>33.951127360099605</v>
      </c>
      <c r="N54" s="46"/>
    </row>
    <row r="55" spans="1:14" x14ac:dyDescent="0.3">
      <c r="A55" s="43"/>
    </row>
    <row r="56" spans="1:14" x14ac:dyDescent="0.3">
      <c r="A56" s="43" t="s">
        <v>159</v>
      </c>
      <c r="C56" s="30">
        <f>C7</f>
        <v>52</v>
      </c>
      <c r="D56" s="30">
        <f t="shared" ref="D56:F56" si="45">D7</f>
        <v>52.8</v>
      </c>
      <c r="E56" s="30">
        <f t="shared" si="45"/>
        <v>56</v>
      </c>
      <c r="F56" s="30">
        <f t="shared" si="45"/>
        <v>61</v>
      </c>
      <c r="G56" s="30">
        <f>'P&amp;L'!G5/'Balance Sheet'!G57</f>
        <v>61.898393859556222</v>
      </c>
      <c r="H56" s="30">
        <f>'P&amp;L'!H5/'Balance Sheet'!H57</f>
        <v>64.247324277842864</v>
      </c>
      <c r="I56" s="30">
        <f>'P&amp;L'!I5/'Balance Sheet'!I57</f>
        <v>68.351330754152173</v>
      </c>
      <c r="J56" s="30">
        <f>'P&amp;L'!J5/'Balance Sheet'!J57</f>
        <v>72.345774835235829</v>
      </c>
      <c r="K56" s="30">
        <f>'P&amp;L'!K5/'Balance Sheet'!K57</f>
        <v>76.091079639220666</v>
      </c>
    </row>
    <row r="57" spans="1:14" x14ac:dyDescent="0.3">
      <c r="A57" s="43" t="s">
        <v>160</v>
      </c>
      <c r="C57" s="30">
        <f>'P&amp;L'!C5/C56</f>
        <v>191.84615384615384</v>
      </c>
      <c r="D57" s="30">
        <f>'P&amp;L'!D5/D56</f>
        <v>207.02651515151516</v>
      </c>
      <c r="E57" s="30">
        <f>'P&amp;L'!E5/E56</f>
        <v>200.16071428571428</v>
      </c>
      <c r="F57" s="30">
        <f>'P&amp;L'!F5/F56</f>
        <v>187.70491803278688</v>
      </c>
      <c r="G57" s="30">
        <f>365/G58</f>
        <v>196.40282858439056</v>
      </c>
      <c r="H57" s="30">
        <f t="shared" ref="H57:K57" si="46">365/H58</f>
        <v>197.57602080748927</v>
      </c>
      <c r="I57" s="30">
        <f t="shared" si="46"/>
        <v>195.34668947920946</v>
      </c>
      <c r="J57" s="30">
        <f t="shared" si="46"/>
        <v>194.17914863363924</v>
      </c>
      <c r="K57" s="30">
        <f t="shared" si="46"/>
        <v>195.86809642049852</v>
      </c>
    </row>
    <row r="58" spans="1:14" x14ac:dyDescent="0.3">
      <c r="A58" s="43" t="s">
        <v>161</v>
      </c>
      <c r="C58" s="30">
        <f>365/C57</f>
        <v>1.9025661587810747</v>
      </c>
      <c r="D58" s="30">
        <f t="shared" ref="D58:F58" si="47">365/D57</f>
        <v>1.7630591894611654</v>
      </c>
      <c r="E58" s="30">
        <f t="shared" si="47"/>
        <v>1.8235346596484969</v>
      </c>
      <c r="F58" s="30">
        <f t="shared" si="47"/>
        <v>1.9445414847161573</v>
      </c>
      <c r="G58" s="30">
        <f>AVERAGE(C58:F58)</f>
        <v>1.8584253731517235</v>
      </c>
      <c r="H58" s="30">
        <f t="shared" ref="H58:K58" si="48">AVERAGE(D58:G58)</f>
        <v>1.8473901767443857</v>
      </c>
      <c r="I58" s="30">
        <f t="shared" si="48"/>
        <v>1.8684729235651907</v>
      </c>
      <c r="J58" s="30">
        <f t="shared" si="48"/>
        <v>1.8797074895443644</v>
      </c>
      <c r="K58" s="30">
        <f t="shared" si="48"/>
        <v>1.8634989907514159</v>
      </c>
    </row>
    <row r="59" spans="1:14" x14ac:dyDescent="0.3">
      <c r="A59" s="43"/>
    </row>
    <row r="60" spans="1:14" x14ac:dyDescent="0.3">
      <c r="A60" s="43"/>
    </row>
    <row r="61" spans="1:14" x14ac:dyDescent="0.3">
      <c r="A61" s="43" t="s">
        <v>162</v>
      </c>
      <c r="C61" s="30">
        <f>C8</f>
        <v>673.4</v>
      </c>
      <c r="D61" s="30">
        <f t="shared" ref="D61:F61" si="49">D8</f>
        <v>866.3</v>
      </c>
      <c r="E61" s="30">
        <f t="shared" si="49"/>
        <v>1074</v>
      </c>
      <c r="F61" s="30">
        <f t="shared" si="49"/>
        <v>863</v>
      </c>
      <c r="G61" s="30">
        <f>G62*('P&amp;L'!G5+'P&amp;L'!G8)</f>
        <v>967.40734412491452</v>
      </c>
      <c r="H61" s="30">
        <f>H62*('P&amp;L'!H5+'P&amp;L'!H8)</f>
        <v>1047.5718180720787</v>
      </c>
      <c r="I61" s="30">
        <f>I62*('P&amp;L'!I5+'P&amp;L'!I8)</f>
        <v>1112.8796827708704</v>
      </c>
      <c r="J61" s="30">
        <f>J62*('P&amp;L'!J5+'P&amp;L'!J8)</f>
        <v>1126.7910255254799</v>
      </c>
      <c r="K61" s="30">
        <f>K62*('P&amp;L'!K5+'P&amp;L'!K8)</f>
        <v>1213.4317121993022</v>
      </c>
    </row>
    <row r="62" spans="1:14" x14ac:dyDescent="0.3">
      <c r="A62" s="43" t="s">
        <v>163</v>
      </c>
      <c r="C62" s="67">
        <f>C61/('P&amp;L'!C5+'P&amp;L'!C8)</f>
        <v>5.2453653217011995E-2</v>
      </c>
      <c r="D62" s="67">
        <f>D61/('P&amp;L'!D5+'P&amp;L'!D8)</f>
        <v>6.3012801862089032E-2</v>
      </c>
      <c r="E62" s="67">
        <f>E61/('P&amp;L'!E5+'P&amp;L'!E8)</f>
        <v>7.6343474552175147E-2</v>
      </c>
      <c r="F62" s="67">
        <f>F61/('P&amp;L'!F5+'P&amp;L'!F8)</f>
        <v>5.9558316080055212E-2</v>
      </c>
      <c r="G62" s="143">
        <f>AVERAGE(C62:F62)</f>
        <v>6.2842061427832857E-2</v>
      </c>
      <c r="H62" s="143">
        <f t="shared" ref="H62:K62" si="50">AVERAGE(D62:G62)</f>
        <v>6.5439163480538062E-2</v>
      </c>
      <c r="I62" s="143">
        <f t="shared" si="50"/>
        <v>6.6045753885150313E-2</v>
      </c>
      <c r="J62" s="143">
        <f t="shared" si="50"/>
        <v>6.3471323718394118E-2</v>
      </c>
      <c r="K62" s="143">
        <f t="shared" si="50"/>
        <v>6.4449575627978845E-2</v>
      </c>
    </row>
    <row r="63" spans="1:14" x14ac:dyDescent="0.3">
      <c r="A63" s="43"/>
    </row>
    <row r="64" spans="1:14" x14ac:dyDescent="0.3">
      <c r="A64" s="142" t="s">
        <v>164</v>
      </c>
    </row>
    <row r="65" spans="1:12" x14ac:dyDescent="0.3">
      <c r="A65" t="s">
        <v>165</v>
      </c>
      <c r="C65" s="30">
        <f>C22+C26+C27</f>
        <v>2611</v>
      </c>
      <c r="D65" s="30">
        <f>D22+D26+D27</f>
        <v>3005.4</v>
      </c>
      <c r="E65" s="30">
        <f>E22+E26+E27</f>
        <v>2640</v>
      </c>
      <c r="F65" s="30">
        <f>F22+F26+F27</f>
        <v>3170</v>
      </c>
      <c r="G65" s="30">
        <f>G67*'P&amp;L'!G5</f>
        <v>3188.3361085865299</v>
      </c>
      <c r="H65" s="30">
        <f>H67*'P&amp;L'!H5</f>
        <v>3330.7927725498434</v>
      </c>
      <c r="I65" s="30">
        <f>I67*'P&amp;L'!I5</f>
        <v>3461.6948821051988</v>
      </c>
      <c r="J65" s="30">
        <f>J67*'P&amp;L'!J5</f>
        <v>3725.4550850896467</v>
      </c>
      <c r="K65" s="30">
        <f>K67*'P&amp;L'!K5</f>
        <v>3908.9491667260822</v>
      </c>
    </row>
    <row r="66" spans="1:12" x14ac:dyDescent="0.3">
      <c r="A66" s="43" t="s">
        <v>195</v>
      </c>
      <c r="D66" s="46">
        <f t="shared" ref="D66:K66" si="51">D65/C65-1</f>
        <v>0.151053236307928</v>
      </c>
      <c r="E66" s="46">
        <f t="shared" si="51"/>
        <v>-0.12158115392293878</v>
      </c>
      <c r="F66" s="46">
        <f t="shared" si="51"/>
        <v>0.20075757575757569</v>
      </c>
      <c r="G66" s="46">
        <f t="shared" si="51"/>
        <v>5.7842613837633117E-3</v>
      </c>
      <c r="H66" s="46">
        <f t="shared" si="51"/>
        <v>4.4680566637771424E-2</v>
      </c>
      <c r="I66" s="46">
        <f t="shared" si="51"/>
        <v>3.9300586525274905E-2</v>
      </c>
      <c r="J66" s="46">
        <f t="shared" si="51"/>
        <v>7.6193948908646947E-2</v>
      </c>
      <c r="K66" s="46">
        <f t="shared" si="51"/>
        <v>4.9254138741554598E-2</v>
      </c>
      <c r="L66" s="46"/>
    </row>
    <row r="67" spans="1:12" x14ac:dyDescent="0.3">
      <c r="A67" t="s">
        <v>166</v>
      </c>
      <c r="C67" s="67">
        <f>C65/'P&amp;L'!C5</f>
        <v>0.26172814755412993</v>
      </c>
      <c r="D67" s="67">
        <f>D65/'P&amp;L'!D5</f>
        <v>0.27494282316348001</v>
      </c>
      <c r="E67" s="67">
        <f>E65/'P&amp;L'!E5</f>
        <v>0.23552502453385674</v>
      </c>
      <c r="F67" s="67">
        <f>F65/'P&amp;L'!F5</f>
        <v>0.27685589519650655</v>
      </c>
      <c r="G67" s="143">
        <f>AVERAGE(C67:F67)</f>
        <v>0.26226297261199327</v>
      </c>
      <c r="H67" s="143">
        <f t="shared" ref="H67:K67" si="52">AVERAGE(D67:G67)</f>
        <v>0.26239667887645912</v>
      </c>
      <c r="I67" s="143">
        <f t="shared" si="52"/>
        <v>0.25926014280470389</v>
      </c>
      <c r="J67" s="143">
        <f t="shared" si="52"/>
        <v>0.26519392237241568</v>
      </c>
      <c r="K67" s="143">
        <f t="shared" si="52"/>
        <v>0.26227842916639299</v>
      </c>
    </row>
    <row r="69" spans="1:12" x14ac:dyDescent="0.3">
      <c r="A69" t="s">
        <v>167</v>
      </c>
      <c r="C69" s="30">
        <f>C25+C24</f>
        <v>530</v>
      </c>
      <c r="D69" s="30">
        <f>D25+D24</f>
        <v>973.1</v>
      </c>
      <c r="E69" s="30">
        <f>E25+E24</f>
        <v>585</v>
      </c>
      <c r="F69" s="30">
        <f>F25+F24</f>
        <v>497</v>
      </c>
      <c r="G69" s="30">
        <f ca="1">G71*'P&amp;L'!G20</f>
        <v>790.34368109174591</v>
      </c>
      <c r="H69" s="30">
        <f ca="1">H71*'P&amp;L'!H20</f>
        <v>817.25120183464071</v>
      </c>
      <c r="I69" s="30">
        <f ca="1">I71*'P&amp;L'!I20</f>
        <v>769.0151585380645</v>
      </c>
      <c r="J69" s="30">
        <f ca="1">J71*'P&amp;L'!J20</f>
        <v>825.03720913151369</v>
      </c>
      <c r="K69" s="30">
        <f ca="1">K71*'P&amp;L'!K20</f>
        <v>921.54555197320087</v>
      </c>
    </row>
    <row r="70" spans="1:12" x14ac:dyDescent="0.3">
      <c r="A70" t="s">
        <v>196</v>
      </c>
      <c r="C70" s="30"/>
      <c r="D70" s="67">
        <f>D69/C69-1</f>
        <v>0.83603773584905672</v>
      </c>
      <c r="E70" s="67">
        <f t="shared" ref="E70:K70" si="53">E69/D69-1</f>
        <v>-0.39882848628095779</v>
      </c>
      <c r="F70" s="67">
        <f t="shared" si="53"/>
        <v>-0.15042735042735045</v>
      </c>
      <c r="G70" s="67">
        <f t="shared" ca="1" si="53"/>
        <v>0.59022873459103797</v>
      </c>
      <c r="H70" s="67">
        <f t="shared" ca="1" si="53"/>
        <v>3.4045341775524651E-2</v>
      </c>
      <c r="I70" s="67">
        <f t="shared" ca="1" si="53"/>
        <v>-5.9022297169207594E-2</v>
      </c>
      <c r="J70" s="67">
        <f t="shared" ca="1" si="53"/>
        <v>7.2849084925646901E-2</v>
      </c>
      <c r="K70" s="67">
        <f t="shared" ca="1" si="53"/>
        <v>0.11697453372227651</v>
      </c>
    </row>
    <row r="71" spans="1:12" x14ac:dyDescent="0.3">
      <c r="A71" t="s">
        <v>168</v>
      </c>
      <c r="C71" s="67">
        <f>C69/'P&amp;L'!C20</f>
        <v>0.47713359740727407</v>
      </c>
      <c r="D71" s="67">
        <f>D69/'P&amp;L'!D20</f>
        <v>0.47398928397467122</v>
      </c>
      <c r="E71" s="67">
        <f>E69/'P&amp;L'!E20</f>
        <v>0.2757495910892816</v>
      </c>
      <c r="F71" s="67">
        <f>F69/'P&amp;L'!F20</f>
        <v>0.21293916023993145</v>
      </c>
      <c r="G71" s="67">
        <f ca="1">AVERAGE(C71:G71)</f>
        <v>0.35995290817778958</v>
      </c>
      <c r="H71" s="67">
        <f t="shared" ref="H71:K71" ca="1" si="54">AVERAGE(D71:H71)</f>
        <v>0.33065773587041847</v>
      </c>
      <c r="I71" s="67">
        <f t="shared" ca="1" si="54"/>
        <v>0.29482484884435528</v>
      </c>
      <c r="J71" s="67">
        <f t="shared" ca="1" si="54"/>
        <v>0.2995936632831237</v>
      </c>
      <c r="K71" s="67">
        <f t="shared" ca="1" si="54"/>
        <v>0.32125728904392176</v>
      </c>
    </row>
    <row r="73" spans="1:12" x14ac:dyDescent="0.3">
      <c r="A73" t="s">
        <v>169</v>
      </c>
      <c r="C73" s="30">
        <f>(C29+C21)/('P&amp;L'!C10+'P&amp;L'!C40)</f>
        <v>3.1938069313976656</v>
      </c>
      <c r="D73" s="30">
        <f>(D29+D21)/('P&amp;L'!D10+'P&amp;L'!D40)</f>
        <v>2.8877284403669727</v>
      </c>
      <c r="E73" s="30">
        <f>(E29+E21)/('P&amp;L'!E10+'P&amp;L'!E40)</f>
        <v>2.7824303686372653</v>
      </c>
      <c r="F73" s="30">
        <f>(F29+F21)/('P&amp;L'!F10+'P&amp;L'!F40)</f>
        <v>2.7394547132971798</v>
      </c>
      <c r="G73" s="30">
        <f>F73-($F$73-$K$73)/5</f>
        <v>2.6915637706377438</v>
      </c>
      <c r="H73" s="30">
        <f t="shared" ref="H73:J73" si="55">G73-($F$73-$K$73)/5</f>
        <v>2.6436728279783077</v>
      </c>
      <c r="I73" s="30">
        <f t="shared" si="55"/>
        <v>2.5957818853188717</v>
      </c>
      <c r="J73" s="30">
        <f t="shared" si="55"/>
        <v>2.5478909426594356</v>
      </c>
      <c r="K73" s="69">
        <v>2.5</v>
      </c>
    </row>
    <row r="75" spans="1:12" x14ac:dyDescent="0.3">
      <c r="A75" t="s">
        <v>15</v>
      </c>
      <c r="B75" s="12"/>
      <c r="C75" s="30">
        <f>C14</f>
        <v>12565.7</v>
      </c>
      <c r="D75" s="30">
        <f>D14</f>
        <v>13514.4</v>
      </c>
      <c r="E75" s="30">
        <f>E14</f>
        <v>13339</v>
      </c>
      <c r="F75" s="30">
        <f>F14</f>
        <v>14606</v>
      </c>
      <c r="G75" s="30">
        <f>G76*'P&amp;L'!G4</f>
        <v>15077.715783598065</v>
      </c>
      <c r="H75" s="30">
        <f>H76*'P&amp;L'!H4</f>
        <v>15752.174289977182</v>
      </c>
      <c r="I75" s="30">
        <f>I76*'P&amp;L'!I4</f>
        <v>16565.945741909905</v>
      </c>
      <c r="J75" s="30">
        <f>J76*'P&amp;L'!J4</f>
        <v>17462.251754908215</v>
      </c>
      <c r="K75" s="30">
        <f>K76*'P&amp;L'!K4</f>
        <v>18499.037105675794</v>
      </c>
    </row>
    <row r="76" spans="1:12" x14ac:dyDescent="0.3">
      <c r="A76" t="s">
        <v>194</v>
      </c>
      <c r="C76" s="67">
        <f>C75/'P&amp;L'!C4</f>
        <v>0.54202217141871201</v>
      </c>
      <c r="D76" s="67">
        <f>D75/'P&amp;L'!D4</f>
        <v>0.53010120028241936</v>
      </c>
      <c r="E76" s="67">
        <f>E75/'P&amp;L'!E4</f>
        <v>0.51462191358024689</v>
      </c>
      <c r="F76" s="67">
        <f>F75/'P&amp;L'!F4</f>
        <v>0.54328318459316427</v>
      </c>
      <c r="G76" s="67">
        <f>AVERAGE(C76:F76)</f>
        <v>0.53250711746863555</v>
      </c>
      <c r="H76" s="67">
        <f>G76</f>
        <v>0.53250711746863555</v>
      </c>
      <c r="I76" s="67">
        <f t="shared" ref="I76:K76" si="56">H76</f>
        <v>0.53250711746863555</v>
      </c>
      <c r="J76" s="67">
        <f t="shared" si="56"/>
        <v>0.53250711746863555</v>
      </c>
      <c r="K76" s="67">
        <f t="shared" si="56"/>
        <v>0.53250711746863555</v>
      </c>
    </row>
  </sheetData>
  <mergeCells count="3">
    <mergeCell ref="A1:A2"/>
    <mergeCell ref="C1:F1"/>
    <mergeCell ref="G1:K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2DBA-6651-4A7A-B6D5-E8B9E57864B1}">
  <sheetPr>
    <tabColor theme="9" tint="0.59999389629810485"/>
  </sheetPr>
  <dimension ref="A1:H5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RowHeight="14.4" x14ac:dyDescent="0.3"/>
  <cols>
    <col min="1" max="1" width="41.33203125" bestFit="1" customWidth="1"/>
    <col min="2" max="2" width="4.5546875" bestFit="1" customWidth="1"/>
    <col min="3" max="3" width="9.21875" bestFit="1" customWidth="1"/>
    <col min="4" max="7" width="8.5546875" bestFit="1" customWidth="1"/>
  </cols>
  <sheetData>
    <row r="1" spans="1:7" ht="15" thickBot="1" x14ac:dyDescent="0.35">
      <c r="A1" s="288" t="s">
        <v>0</v>
      </c>
      <c r="B1" s="202"/>
      <c r="C1" s="290" t="s">
        <v>2</v>
      </c>
      <c r="D1" s="291"/>
      <c r="E1" s="291"/>
      <c r="F1" s="291"/>
      <c r="G1" s="292"/>
    </row>
    <row r="2" spans="1:7" ht="18.600000000000001" thickBot="1" x14ac:dyDescent="0.4">
      <c r="A2" s="289"/>
      <c r="B2" s="202" t="s">
        <v>3</v>
      </c>
      <c r="C2" s="199">
        <v>2026</v>
      </c>
      <c r="D2" s="200">
        <f t="shared" ref="D2:G2" si="0">C2+1</f>
        <v>2027</v>
      </c>
      <c r="E2" s="200">
        <f t="shared" si="0"/>
        <v>2028</v>
      </c>
      <c r="F2" s="200">
        <f t="shared" si="0"/>
        <v>2029</v>
      </c>
      <c r="G2" s="201">
        <f t="shared" si="0"/>
        <v>2030</v>
      </c>
    </row>
    <row r="3" spans="1:7" x14ac:dyDescent="0.3">
      <c r="A3" s="39"/>
      <c r="B3" s="186" t="s">
        <v>42</v>
      </c>
      <c r="C3" s="187"/>
      <c r="D3" s="187"/>
      <c r="E3" s="187"/>
      <c r="F3" s="187"/>
      <c r="G3" s="187"/>
    </row>
    <row r="4" spans="1:7" x14ac:dyDescent="0.3">
      <c r="A4" s="39" t="s">
        <v>179</v>
      </c>
      <c r="B4" s="188"/>
      <c r="C4" s="188"/>
      <c r="D4" s="188"/>
      <c r="E4" s="188"/>
      <c r="F4" s="188"/>
      <c r="G4" s="39"/>
    </row>
    <row r="5" spans="1:7" x14ac:dyDescent="0.3">
      <c r="A5" s="40" t="s">
        <v>180</v>
      </c>
      <c r="B5" s="189"/>
      <c r="C5" s="189">
        <f>'P&amp;L'!G21</f>
        <v>9825.1118382390669</v>
      </c>
      <c r="D5" s="189">
        <f>'P&amp;L'!H21</f>
        <v>10137.624510010903</v>
      </c>
      <c r="E5" s="189">
        <f>'P&amp;L'!I21</f>
        <v>10600.186988134232</v>
      </c>
      <c r="F5" s="189">
        <f>'P&amp;L'!J21</f>
        <v>11245.129162202546</v>
      </c>
      <c r="G5" s="189">
        <f>'P&amp;L'!K21</f>
        <v>11977.777309257257</v>
      </c>
    </row>
    <row r="6" spans="1:7" x14ac:dyDescent="0.3">
      <c r="A6" s="40" t="s">
        <v>217</v>
      </c>
      <c r="B6" s="189"/>
      <c r="C6" s="189">
        <f>Capex!G11</f>
        <v>1145.7673468177504</v>
      </c>
      <c r="D6" s="189">
        <f>Capex!H11</f>
        <v>1194.0724583039946</v>
      </c>
      <c r="E6" s="189">
        <f>Capex!I11</f>
        <v>1263.0268741923296</v>
      </c>
      <c r="F6" s="189">
        <f>Capex!J11</f>
        <v>1342.0177253568827</v>
      </c>
      <c r="G6" s="189">
        <f>Capex!K11</f>
        <v>1410.0017548051542</v>
      </c>
    </row>
    <row r="7" spans="1:7" x14ac:dyDescent="0.3">
      <c r="A7" s="40" t="s">
        <v>198</v>
      </c>
      <c r="B7" s="189"/>
      <c r="C7" s="189"/>
      <c r="D7" s="189"/>
      <c r="E7" s="189"/>
      <c r="F7" s="189"/>
      <c r="G7" s="189"/>
    </row>
    <row r="8" spans="1:7" x14ac:dyDescent="0.3">
      <c r="A8" s="163" t="s">
        <v>199</v>
      </c>
      <c r="B8" s="188"/>
      <c r="C8" s="188">
        <f>-('Balance Sheet'!G6-'Balance Sheet'!F6)</f>
        <v>-170.68228059230069</v>
      </c>
      <c r="D8" s="188">
        <f>-('Balance Sheet'!H6-'Balance Sheet'!G6)</f>
        <v>-131.92423051894866</v>
      </c>
      <c r="E8" s="188">
        <f>-('Balance Sheet'!I6-'Balance Sheet'!H6)</f>
        <v>-111.93497180837903</v>
      </c>
      <c r="F8" s="188">
        <f>-('Balance Sheet'!J6-'Balance Sheet'!I6)</f>
        <v>-161.24187742817548</v>
      </c>
      <c r="G8" s="188">
        <f>-('Balance Sheet'!K6-'Balance Sheet'!J6)</f>
        <v>-189.57438688790444</v>
      </c>
    </row>
    <row r="9" spans="1:7" x14ac:dyDescent="0.3">
      <c r="A9" s="40" t="s">
        <v>200</v>
      </c>
      <c r="B9" s="189"/>
      <c r="C9" s="189">
        <f>-('Balance Sheet'!G7-'Balance Sheet'!F7)</f>
        <v>-0.8983938595562222</v>
      </c>
      <c r="D9" s="189">
        <f>-('Balance Sheet'!H7-'Balance Sheet'!G7)</f>
        <v>-2.348930418286642</v>
      </c>
      <c r="E9" s="189">
        <f>-('Balance Sheet'!I7-'Balance Sheet'!H7)</f>
        <v>-4.1040064763093085</v>
      </c>
      <c r="F9" s="189">
        <f>-('Balance Sheet'!J7-'Balance Sheet'!I7)</f>
        <v>-3.9944440810836568</v>
      </c>
      <c r="G9" s="189">
        <f>-('Balance Sheet'!K7-'Balance Sheet'!J7)</f>
        <v>-3.7453048039848369</v>
      </c>
    </row>
    <row r="10" spans="1:7" x14ac:dyDescent="0.3">
      <c r="A10" t="s">
        <v>201</v>
      </c>
      <c r="B10" s="189"/>
      <c r="C10" s="30">
        <f>-('Balance Sheet'!G8-'Balance Sheet'!F8)</f>
        <v>-104.40734412491452</v>
      </c>
      <c r="D10" s="30">
        <f>-('Balance Sheet'!H8-'Balance Sheet'!G8)</f>
        <v>-80.164473947164197</v>
      </c>
      <c r="E10" s="30">
        <f>-('Balance Sheet'!I8-'Balance Sheet'!H8)</f>
        <v>-65.307864698791718</v>
      </c>
      <c r="F10" s="30">
        <f>-('Balance Sheet'!J8-'Balance Sheet'!I8)</f>
        <v>-13.91134275460945</v>
      </c>
      <c r="G10" s="30">
        <f>-('Balance Sheet'!K8-'Balance Sheet'!J8)</f>
        <v>-86.640686673822302</v>
      </c>
    </row>
    <row r="11" spans="1:7" x14ac:dyDescent="0.3">
      <c r="A11" s="221" t="s">
        <v>202</v>
      </c>
      <c r="B11" s="189"/>
    </row>
    <row r="12" spans="1:7" x14ac:dyDescent="0.3">
      <c r="A12" t="s">
        <v>203</v>
      </c>
      <c r="B12" s="189"/>
      <c r="C12" s="30">
        <f>'Balance Sheet'!G22-'Balance Sheet'!F22</f>
        <v>6.6461163299441068</v>
      </c>
      <c r="D12" s="30">
        <f>'Balance Sheet'!H22-'Balance Sheet'!G22</f>
        <v>51.634923310361728</v>
      </c>
      <c r="E12" s="30">
        <f>'Balance Sheet'!I22-'Balance Sheet'!H22</f>
        <v>47.446852958707723</v>
      </c>
      <c r="F12" s="30">
        <f>'Balance Sheet'!J22-'Balance Sheet'!I22</f>
        <v>95.6026729429434</v>
      </c>
      <c r="G12" s="30">
        <f>'Balance Sheet'!K22-'Balance Sheet'!J22</f>
        <v>66.509369022165401</v>
      </c>
    </row>
    <row r="13" spans="1:7" x14ac:dyDescent="0.3">
      <c r="A13" t="s">
        <v>204</v>
      </c>
      <c r="B13" s="189"/>
      <c r="C13" s="30">
        <f ca="1">'Balance Sheet'!G24-'Balance Sheet'!F24</f>
        <v>147.55718364775947</v>
      </c>
      <c r="D13" s="30">
        <f ca="1">'Balance Sheet'!H24-'Balance Sheet'!G24</f>
        <v>13.534970192602998</v>
      </c>
      <c r="E13" s="30">
        <f ca="1">'Balance Sheet'!I24-'Balance Sheet'!H24</f>
        <v>-24.263603267895462</v>
      </c>
      <c r="F13" s="30">
        <f ca="1">'Balance Sheet'!J24-'Balance Sheet'!I24</f>
        <v>28.180105932318554</v>
      </c>
      <c r="G13" s="30">
        <f ca="1">'Balance Sheet'!K24-'Balance Sheet'!J24</f>
        <v>48.545444085355712</v>
      </c>
    </row>
    <row r="14" spans="1:7" x14ac:dyDescent="0.3">
      <c r="A14" t="s">
        <v>205</v>
      </c>
      <c r="B14" s="189"/>
      <c r="C14" s="189">
        <f ca="1">'Balance Sheet'!G25-'Balance Sheet'!F25</f>
        <v>145.78649744398638</v>
      </c>
      <c r="D14" s="189">
        <f ca="1">'Balance Sheet'!H25-'Balance Sheet'!G25</f>
        <v>13.372550550291749</v>
      </c>
      <c r="E14" s="189">
        <f ca="1">'Balance Sheet'!I25-'Balance Sheet'!H25</f>
        <v>-23.972440028680751</v>
      </c>
      <c r="F14" s="189">
        <f ca="1">'Balance Sheet'!J25-'Balance Sheet'!I25</f>
        <v>27.841944661130697</v>
      </c>
      <c r="G14" s="189">
        <f ca="1">'Balance Sheet'!K25-'Balance Sheet'!J25</f>
        <v>47.962898756331413</v>
      </c>
    </row>
    <row r="15" spans="1:7" x14ac:dyDescent="0.3">
      <c r="A15" t="s">
        <v>206</v>
      </c>
      <c r="B15" s="189"/>
      <c r="C15" s="189">
        <f>'Balance Sheet'!G26-'Balance Sheet'!F26</f>
        <v>3.0830113175458109</v>
      </c>
      <c r="D15" s="189">
        <f>'Balance Sheet'!H26-'Balance Sheet'!G26</f>
        <v>23.952492710550814</v>
      </c>
      <c r="E15" s="189">
        <f>'Balance Sheet'!I26-'Balance Sheet'!H26</f>
        <v>22.009723783282197</v>
      </c>
      <c r="F15" s="189">
        <f>'Balance Sheet'!J26-'Balance Sheet'!I26</f>
        <v>44.348324350381972</v>
      </c>
      <c r="G15" s="189">
        <f>'Balance Sheet'!K26-'Balance Sheet'!J26</f>
        <v>30.852474924990588</v>
      </c>
    </row>
    <row r="16" spans="1:7" x14ac:dyDescent="0.3">
      <c r="A16" t="s">
        <v>207</v>
      </c>
      <c r="B16" s="189"/>
      <c r="C16" s="189">
        <f>'Balance Sheet'!G27-'Balance Sheet'!F27</f>
        <v>8.6069809390398859</v>
      </c>
      <c r="D16" s="189">
        <f>'Balance Sheet'!H27-'Balance Sheet'!G27</f>
        <v>66.869247942400762</v>
      </c>
      <c r="E16" s="189">
        <f>'Balance Sheet'!I27-'Balance Sheet'!H27</f>
        <v>61.445532813365617</v>
      </c>
      <c r="F16" s="189">
        <f>'Balance Sheet'!J27-'Balance Sheet'!I27</f>
        <v>123.80920569112277</v>
      </c>
      <c r="G16" s="189">
        <f>'Balance Sheet'!K27-'Balance Sheet'!J27</f>
        <v>86.132237689279464</v>
      </c>
    </row>
    <row r="17" spans="1:8" x14ac:dyDescent="0.3">
      <c r="A17" t="s">
        <v>208</v>
      </c>
      <c r="B17" s="189"/>
      <c r="C17" s="189">
        <f>'Balance Sheet'!G31-'Balance Sheet'!F31</f>
        <v>0</v>
      </c>
      <c r="D17" s="189">
        <f>'Balance Sheet'!H31-'Balance Sheet'!G31</f>
        <v>0</v>
      </c>
      <c r="E17" s="189">
        <f>'Balance Sheet'!I31-'Balance Sheet'!H31</f>
        <v>0</v>
      </c>
      <c r="F17" s="189">
        <f>'Balance Sheet'!J31-'Balance Sheet'!I31</f>
        <v>0</v>
      </c>
      <c r="G17" s="189">
        <f>'Balance Sheet'!K31-'Balance Sheet'!J31</f>
        <v>0</v>
      </c>
    </row>
    <row r="18" spans="1:8" x14ac:dyDescent="0.3">
      <c r="A18" t="s">
        <v>209</v>
      </c>
      <c r="B18" s="189"/>
      <c r="C18" s="189">
        <f>'Balance Sheet'!G32-'Balance Sheet'!F32</f>
        <v>-127.02499999999998</v>
      </c>
      <c r="D18" s="189">
        <f>'Balance Sheet'!H32-'Balance Sheet'!G32</f>
        <v>0</v>
      </c>
      <c r="E18" s="189">
        <f>'Balance Sheet'!I32-'Balance Sheet'!H32</f>
        <v>0</v>
      </c>
      <c r="F18" s="189">
        <f>'Balance Sheet'!J32-'Balance Sheet'!I32</f>
        <v>0</v>
      </c>
      <c r="G18" s="189">
        <f>'Balance Sheet'!K32-'Balance Sheet'!J32</f>
        <v>0</v>
      </c>
    </row>
    <row r="19" spans="1:8" x14ac:dyDescent="0.3">
      <c r="A19" t="s">
        <v>210</v>
      </c>
      <c r="B19" s="189"/>
      <c r="C19" s="189">
        <f>'Balance Sheet'!G33-'Balance Sheet'!F33</f>
        <v>0</v>
      </c>
      <c r="D19" s="189">
        <f>'Balance Sheet'!H33-'Balance Sheet'!G33</f>
        <v>0</v>
      </c>
      <c r="E19" s="189">
        <f>'Balance Sheet'!I33-'Balance Sheet'!H33</f>
        <v>0</v>
      </c>
      <c r="F19" s="189">
        <f>'Balance Sheet'!J33-'Balance Sheet'!I33</f>
        <v>0</v>
      </c>
      <c r="G19" s="189">
        <f>'Balance Sheet'!K33-'Balance Sheet'!J33</f>
        <v>0</v>
      </c>
    </row>
    <row r="20" spans="1:8" x14ac:dyDescent="0.3">
      <c r="A20" s="162" t="s">
        <v>211</v>
      </c>
      <c r="B20" s="190"/>
      <c r="C20" s="191">
        <f>'Balance Sheet'!G34-'Balance Sheet'!F34</f>
        <v>0</v>
      </c>
      <c r="D20" s="191">
        <f>'Balance Sheet'!H34-'Balance Sheet'!G34</f>
        <v>0</v>
      </c>
      <c r="E20" s="191">
        <f>'Balance Sheet'!I34-'Balance Sheet'!H34</f>
        <v>0</v>
      </c>
      <c r="F20" s="191">
        <f>'Balance Sheet'!J34-'Balance Sheet'!I34</f>
        <v>0</v>
      </c>
      <c r="G20" s="191">
        <f>'Balance Sheet'!K34-'Balance Sheet'!J34</f>
        <v>0</v>
      </c>
    </row>
    <row r="21" spans="1:8" ht="13.8" customHeight="1" x14ac:dyDescent="0.3">
      <c r="A21" s="192" t="s">
        <v>182</v>
      </c>
      <c r="B21" s="193"/>
      <c r="C21" s="193">
        <f ca="1">SUM(C5:C20)</f>
        <v>10879.545956158323</v>
      </c>
      <c r="D21" s="193">
        <f t="shared" ref="D21:G21" ca="1" si="1">SUM(D5:D20)</f>
        <v>11286.623518136703</v>
      </c>
      <c r="E21" s="193">
        <f t="shared" ca="1" si="1"/>
        <v>11764.533085601861</v>
      </c>
      <c r="F21" s="193">
        <f t="shared" ca="1" si="1"/>
        <v>12727.781476873459</v>
      </c>
      <c r="G21" s="193">
        <f t="shared" ca="1" si="1"/>
        <v>13387.821110174824</v>
      </c>
    </row>
    <row r="23" spans="1:8" x14ac:dyDescent="0.3">
      <c r="A23" s="39" t="s">
        <v>216</v>
      </c>
      <c r="B23" s="188"/>
      <c r="C23" s="188"/>
      <c r="D23" s="188"/>
      <c r="E23" s="188"/>
      <c r="F23" s="188"/>
      <c r="G23" s="39"/>
    </row>
    <row r="24" spans="1:8" x14ac:dyDescent="0.3">
      <c r="A24" s="40" t="s">
        <v>213</v>
      </c>
      <c r="B24" s="189"/>
      <c r="C24" s="188">
        <f>-Capex!G5</f>
        <v>-336.42576858253597</v>
      </c>
      <c r="D24" s="188">
        <f>-Capex!H5</f>
        <v>-2092.2310590131601</v>
      </c>
      <c r="E24" s="188">
        <f>-Capex!I5</f>
        <v>-2986.6108604007241</v>
      </c>
      <c r="F24" s="188">
        <f>-Capex!J5</f>
        <v>-3421.317270563115</v>
      </c>
      <c r="G24" s="188">
        <f>-Capex!K5</f>
        <v>-2944.5806779484192</v>
      </c>
    </row>
    <row r="25" spans="1:8" x14ac:dyDescent="0.3">
      <c r="A25" t="s">
        <v>215</v>
      </c>
      <c r="B25" s="189"/>
      <c r="C25" s="188">
        <f>'Balance Sheet'!G12-'Balance Sheet'!F12</f>
        <v>0</v>
      </c>
      <c r="D25" s="188">
        <f>'Balance Sheet'!H12-'Balance Sheet'!G12</f>
        <v>0</v>
      </c>
      <c r="E25" s="188">
        <f>'Balance Sheet'!I12-'Balance Sheet'!H12</f>
        <v>0</v>
      </c>
      <c r="F25" s="188">
        <f>'Balance Sheet'!J12-'Balance Sheet'!I12</f>
        <v>0</v>
      </c>
      <c r="G25" s="188">
        <f>'Balance Sheet'!K12-'Balance Sheet'!J12</f>
        <v>0</v>
      </c>
    </row>
    <row r="26" spans="1:8" x14ac:dyDescent="0.3">
      <c r="A26" t="s">
        <v>212</v>
      </c>
      <c r="C26" s="30">
        <f>'Balance Sheet'!G11-'Balance Sheet'!F11</f>
        <v>0</v>
      </c>
      <c r="D26" s="30">
        <f>'Balance Sheet'!H11-'Balance Sheet'!G11</f>
        <v>0</v>
      </c>
      <c r="E26" s="30">
        <f>'Balance Sheet'!I11-'Balance Sheet'!H11</f>
        <v>0</v>
      </c>
      <c r="F26" s="30">
        <f>'Balance Sheet'!J11-'Balance Sheet'!I11</f>
        <v>0</v>
      </c>
      <c r="G26" s="30">
        <f>'Balance Sheet'!K11-'Balance Sheet'!J11</f>
        <v>0</v>
      </c>
    </row>
    <row r="27" spans="1:8" x14ac:dyDescent="0.3">
      <c r="A27" s="40" t="s">
        <v>214</v>
      </c>
      <c r="B27" s="189"/>
      <c r="C27" s="188">
        <f>-('Balance Sheet'!G14-'Balance Sheet'!F14)</f>
        <v>-471.71578359806517</v>
      </c>
      <c r="D27" s="188">
        <f>-('Balance Sheet'!H14-'Balance Sheet'!G14)</f>
        <v>-674.45850637911644</v>
      </c>
      <c r="E27" s="188">
        <f>-('Balance Sheet'!I14-'Balance Sheet'!H14)</f>
        <v>-813.77145193272372</v>
      </c>
      <c r="F27" s="188">
        <f>-('Balance Sheet'!J14-'Balance Sheet'!I14)</f>
        <v>-896.3060129983096</v>
      </c>
      <c r="G27" s="188">
        <f>-('Balance Sheet'!K14-'Balance Sheet'!J14)</f>
        <v>-1036.7853507675791</v>
      </c>
    </row>
    <row r="28" spans="1:8" x14ac:dyDescent="0.3">
      <c r="A28" s="39" t="s">
        <v>183</v>
      </c>
      <c r="B28" s="187"/>
      <c r="C28" s="187">
        <f>SUM(C24:C27)</f>
        <v>-808.14155218060114</v>
      </c>
      <c r="D28" s="187">
        <f>SUM(D24:D27)</f>
        <v>-2766.6895653922766</v>
      </c>
      <c r="E28" s="187">
        <f>SUM(E24:E27)</f>
        <v>-3800.3823123334478</v>
      </c>
      <c r="F28" s="187">
        <f>SUM(F24:F27)</f>
        <v>-4317.6232835614246</v>
      </c>
      <c r="G28" s="187">
        <f>SUM(G24:G27)</f>
        <v>-3981.3660287159983</v>
      </c>
    </row>
    <row r="29" spans="1:8" x14ac:dyDescent="0.3">
      <c r="A29" s="39"/>
      <c r="B29" s="188"/>
      <c r="C29" s="188"/>
      <c r="D29" s="188"/>
      <c r="E29" s="188"/>
      <c r="F29" s="188"/>
      <c r="G29" s="39"/>
    </row>
    <row r="30" spans="1:8" x14ac:dyDescent="0.3">
      <c r="A30" s="39" t="s">
        <v>184</v>
      </c>
      <c r="B30" s="188"/>
      <c r="C30" s="188"/>
      <c r="D30" s="188"/>
      <c r="E30" s="188"/>
      <c r="F30" s="188"/>
      <c r="G30" s="39"/>
    </row>
    <row r="31" spans="1:8" x14ac:dyDescent="0.3">
      <c r="A31" s="40" t="s">
        <v>218</v>
      </c>
      <c r="B31" s="188"/>
      <c r="C31" s="188">
        <f>Debt!C6-Debt!C7</f>
        <v>-2303.7894550891069</v>
      </c>
      <c r="D31" s="188">
        <f>Debt!D6-Debt!D7</f>
        <v>1273.2695435065689</v>
      </c>
      <c r="E31" s="188">
        <f>Debt!E6-Debt!E7</f>
        <v>1210.6702497937513</v>
      </c>
      <c r="F31" s="188">
        <f>Debt!F6-Debt!F7</f>
        <v>1471.1031140326959</v>
      </c>
      <c r="G31" s="188">
        <f>Debt!G6-Debt!G7</f>
        <v>1557.1758170971007</v>
      </c>
      <c r="H31" s="188"/>
    </row>
    <row r="32" spans="1:8" x14ac:dyDescent="0.3">
      <c r="A32" t="s">
        <v>220</v>
      </c>
      <c r="B32" s="188"/>
      <c r="C32" s="188">
        <f>'Balance Sheet'!G23-'Balance Sheet'!F23</f>
        <v>627</v>
      </c>
      <c r="D32" s="188">
        <f>'Balance Sheet'!H23-'Balance Sheet'!G23</f>
        <v>-32</v>
      </c>
      <c r="E32" s="188">
        <f>'Balance Sheet'!I23-'Balance Sheet'!H23</f>
        <v>-50</v>
      </c>
      <c r="F32" s="188">
        <f>'Balance Sheet'!J23-'Balance Sheet'!I23</f>
        <v>-38</v>
      </c>
      <c r="G32" s="188">
        <f>'Balance Sheet'!K23-'Balance Sheet'!J23</f>
        <v>-45</v>
      </c>
      <c r="H32" s="188"/>
    </row>
    <row r="33" spans="1:8" x14ac:dyDescent="0.3">
      <c r="A33" t="s">
        <v>221</v>
      </c>
      <c r="B33" s="188"/>
      <c r="C33" s="188">
        <f>'Balance Sheet'!G30-'Balance Sheet'!F30</f>
        <v>-1090.3500000000004</v>
      </c>
      <c r="D33" s="188">
        <f>'Balance Sheet'!H30-'Balance Sheet'!G30</f>
        <v>0</v>
      </c>
      <c r="E33" s="188">
        <f>'Balance Sheet'!I30-'Balance Sheet'!H30</f>
        <v>0</v>
      </c>
      <c r="F33" s="188">
        <f>'Balance Sheet'!J30-'Balance Sheet'!I30</f>
        <v>0</v>
      </c>
      <c r="G33" s="188">
        <f>'Balance Sheet'!K30-'Balance Sheet'!J30</f>
        <v>0</v>
      </c>
      <c r="H33" s="188"/>
    </row>
    <row r="34" spans="1:8" x14ac:dyDescent="0.3">
      <c r="A34" t="s">
        <v>219</v>
      </c>
      <c r="B34" s="188"/>
      <c r="C34" s="188">
        <f>'Balance Sheet'!G21-'Balance Sheet'!F21</f>
        <v>0</v>
      </c>
      <c r="D34" s="188">
        <f>'Balance Sheet'!H21-'Balance Sheet'!G21</f>
        <v>0</v>
      </c>
      <c r="E34" s="188">
        <f>'Balance Sheet'!I21-'Balance Sheet'!H21</f>
        <v>0</v>
      </c>
      <c r="F34" s="188">
        <f>'Balance Sheet'!J21-'Balance Sheet'!I21</f>
        <v>0</v>
      </c>
      <c r="G34" s="188">
        <f>'Balance Sheet'!K21-'Balance Sheet'!J21</f>
        <v>0</v>
      </c>
      <c r="H34" s="188"/>
    </row>
    <row r="35" spans="1:8" x14ac:dyDescent="0.3">
      <c r="A35" t="s">
        <v>222</v>
      </c>
      <c r="B35" s="188"/>
      <c r="C35" s="188">
        <f>'Balance Sheet'!G36-'Balance Sheet'!F36</f>
        <v>0</v>
      </c>
      <c r="D35" s="188">
        <f>'Balance Sheet'!H36-'Balance Sheet'!G36</f>
        <v>0</v>
      </c>
      <c r="E35" s="188">
        <f>'Balance Sheet'!I36-'Balance Sheet'!H36</f>
        <v>0</v>
      </c>
      <c r="F35" s="188">
        <f>'Balance Sheet'!J36-'Balance Sheet'!I36</f>
        <v>0</v>
      </c>
      <c r="G35" s="188">
        <f>'Balance Sheet'!K36-'Balance Sheet'!J36</f>
        <v>0</v>
      </c>
      <c r="H35" s="188"/>
    </row>
    <row r="36" spans="1:8" x14ac:dyDescent="0.3">
      <c r="A36" t="s">
        <v>223</v>
      </c>
      <c r="B36" s="188"/>
      <c r="C36" s="188">
        <f>'Balance Sheet'!G38-'Balance Sheet'!F38</f>
        <v>0</v>
      </c>
      <c r="D36" s="188">
        <f>'Balance Sheet'!H38-'Balance Sheet'!G38</f>
        <v>0</v>
      </c>
      <c r="E36" s="188">
        <f>'Balance Sheet'!I38-'Balance Sheet'!H38</f>
        <v>0</v>
      </c>
      <c r="F36" s="188">
        <f>'Balance Sheet'!J38-'Balance Sheet'!I38</f>
        <v>0</v>
      </c>
      <c r="G36" s="188">
        <f>'Balance Sheet'!K38-'Balance Sheet'!J38</f>
        <v>0</v>
      </c>
    </row>
    <row r="37" spans="1:8" x14ac:dyDescent="0.3">
      <c r="A37" t="s">
        <v>224</v>
      </c>
      <c r="B37" s="194"/>
      <c r="C37" s="194">
        <f>'Balance Sheet'!G38-'Balance Sheet'!F38</f>
        <v>0</v>
      </c>
      <c r="D37" s="194">
        <f>'Balance Sheet'!H38-'Balance Sheet'!G38</f>
        <v>0</v>
      </c>
      <c r="E37" s="194">
        <f>'Balance Sheet'!I38-'Balance Sheet'!H38</f>
        <v>0</v>
      </c>
      <c r="F37" s="194">
        <f>'Balance Sheet'!J38-'Balance Sheet'!I38</f>
        <v>0</v>
      </c>
      <c r="G37" s="194">
        <f>'Balance Sheet'!K38-'Balance Sheet'!J38</f>
        <v>0</v>
      </c>
    </row>
    <row r="38" spans="1:8" x14ac:dyDescent="0.3">
      <c r="A38" s="162" t="s">
        <v>124</v>
      </c>
      <c r="B38" s="195"/>
      <c r="C38" s="195">
        <f>-'P&amp;L'!G39</f>
        <v>-6561.8861686862238</v>
      </c>
      <c r="D38" s="195">
        <f>-'P&amp;L'!H39</f>
        <v>-7358.9182508734893</v>
      </c>
      <c r="E38" s="195">
        <f>-'P&amp;L'!I39</f>
        <v>-8309.85150446851</v>
      </c>
      <c r="F38" s="195">
        <f>-'P&amp;L'!J39</f>
        <v>-9468.0300618151286</v>
      </c>
      <c r="G38" s="195">
        <f>-'P&amp;L'!K39</f>
        <v>-10779.999578331532</v>
      </c>
    </row>
    <row r="39" spans="1:8" x14ac:dyDescent="0.3">
      <c r="A39" s="39" t="s">
        <v>185</v>
      </c>
      <c r="B39" s="187"/>
      <c r="C39" s="187">
        <f>SUM(C31:C38)</f>
        <v>-9329.025623775331</v>
      </c>
      <c r="D39" s="187">
        <f>SUM(D31:D38)</f>
        <v>-6117.6487073669205</v>
      </c>
      <c r="E39" s="187">
        <f>SUM(E31:E38)</f>
        <v>-7149.1812546747587</v>
      </c>
      <c r="F39" s="187">
        <f>SUM(F31:F38)</f>
        <v>-8034.9269477824328</v>
      </c>
      <c r="G39" s="187">
        <f>SUM(G31:G38)</f>
        <v>-9267.823761234431</v>
      </c>
    </row>
    <row r="40" spans="1:8" x14ac:dyDescent="0.3">
      <c r="B40" s="188"/>
      <c r="C40" s="188"/>
      <c r="D40" s="188"/>
      <c r="E40" s="188"/>
      <c r="F40" s="188"/>
    </row>
    <row r="41" spans="1:8" x14ac:dyDescent="0.3">
      <c r="A41" s="196" t="s">
        <v>186</v>
      </c>
      <c r="B41" s="197"/>
      <c r="C41" s="197">
        <f ca="1">C21+C28+C39</f>
        <v>742.37878020239077</v>
      </c>
      <c r="D41" s="197">
        <f ca="1">D21+D28+D39</f>
        <v>2402.2852453775058</v>
      </c>
      <c r="E41" s="197">
        <f ca="1">E21+E28+E39</f>
        <v>814.96951859365436</v>
      </c>
      <c r="F41" s="197">
        <f ca="1">F21+F28+F39</f>
        <v>375.23124552960144</v>
      </c>
      <c r="G41" s="197">
        <f ca="1">G21+G28+G39</f>
        <v>138.63132022439459</v>
      </c>
    </row>
    <row r="42" spans="1:8" x14ac:dyDescent="0.3">
      <c r="B42" s="188"/>
      <c r="C42" s="188"/>
      <c r="D42" s="188"/>
      <c r="E42" s="188"/>
      <c r="F42" s="188"/>
    </row>
    <row r="43" spans="1:8" x14ac:dyDescent="0.3">
      <c r="A43" s="40" t="s">
        <v>187</v>
      </c>
      <c r="B43" s="189"/>
      <c r="C43" s="188">
        <f>'Balance Sheet'!F5</f>
        <v>774</v>
      </c>
      <c r="D43" s="188">
        <f ca="1">C44</f>
        <v>1516.3787802023908</v>
      </c>
      <c r="E43" s="188">
        <f t="shared" ref="E43:G43" ca="1" si="2">D44</f>
        <v>3918.6640255798966</v>
      </c>
      <c r="F43" s="188">
        <f t="shared" ca="1" si="2"/>
        <v>4733.6335441735509</v>
      </c>
      <c r="G43" s="188">
        <f t="shared" ca="1" si="2"/>
        <v>5108.8647897031524</v>
      </c>
    </row>
    <row r="44" spans="1:8" x14ac:dyDescent="0.3">
      <c r="A44" s="40" t="s">
        <v>188</v>
      </c>
      <c r="B44" s="188"/>
      <c r="C44" s="188">
        <f ca="1">C41+C43</f>
        <v>1516.3787802023908</v>
      </c>
      <c r="D44" s="188">
        <f ca="1">D41+D43</f>
        <v>3918.6640255798966</v>
      </c>
      <c r="E44" s="188">
        <f t="shared" ref="E44:G44" ca="1" si="3">E41+E43</f>
        <v>4733.6335441735509</v>
      </c>
      <c r="F44" s="188">
        <f t="shared" ca="1" si="3"/>
        <v>5108.8647897031524</v>
      </c>
      <c r="G44" s="188">
        <f t="shared" ca="1" si="3"/>
        <v>5247.496109927547</v>
      </c>
    </row>
    <row r="45" spans="1:8" x14ac:dyDescent="0.3">
      <c r="B45" s="56"/>
      <c r="C45" s="198"/>
      <c r="D45" s="198"/>
      <c r="E45" s="198"/>
      <c r="F45" s="198"/>
      <c r="G45" s="198"/>
    </row>
    <row r="46" spans="1:8" x14ac:dyDescent="0.3">
      <c r="B46" s="56"/>
      <c r="C46" s="188"/>
      <c r="D46" s="188"/>
      <c r="E46" s="188"/>
      <c r="F46" s="188"/>
      <c r="G46" s="188"/>
    </row>
    <row r="47" spans="1:8" x14ac:dyDescent="0.3">
      <c r="A47" s="40"/>
      <c r="B47" s="188"/>
      <c r="C47" s="188"/>
      <c r="D47" s="188"/>
      <c r="E47" s="188"/>
      <c r="F47" s="188"/>
      <c r="G47" s="188"/>
    </row>
    <row r="48" spans="1:8" x14ac:dyDescent="0.3">
      <c r="A48" s="40"/>
      <c r="B48" s="188"/>
      <c r="C48" s="188"/>
      <c r="D48" s="188"/>
      <c r="E48" s="188"/>
      <c r="F48" s="188"/>
      <c r="G48" s="188"/>
    </row>
    <row r="49" spans="1:7" x14ac:dyDescent="0.3">
      <c r="A49" s="40"/>
      <c r="B49" s="188"/>
      <c r="C49" s="188"/>
      <c r="D49" s="188"/>
      <c r="E49" s="188"/>
      <c r="F49" s="188"/>
      <c r="G49" s="188"/>
    </row>
    <row r="50" spans="1:7" x14ac:dyDescent="0.3">
      <c r="A50" s="40"/>
      <c r="B50" s="188"/>
      <c r="C50" s="188"/>
      <c r="D50" s="188"/>
      <c r="E50" s="188"/>
      <c r="F50" s="188"/>
      <c r="G50" s="188"/>
    </row>
    <row r="51" spans="1:7" x14ac:dyDescent="0.3">
      <c r="A51" s="40"/>
      <c r="B51" s="188"/>
      <c r="C51" s="188"/>
      <c r="D51" s="188"/>
      <c r="E51" s="188"/>
      <c r="F51" s="188"/>
      <c r="G51" s="188"/>
    </row>
    <row r="52" spans="1:7" x14ac:dyDescent="0.3">
      <c r="A52" s="39"/>
      <c r="B52" s="187"/>
      <c r="C52" s="187"/>
      <c r="D52" s="187"/>
      <c r="E52" s="187"/>
      <c r="F52" s="187"/>
      <c r="G52" s="187"/>
    </row>
  </sheetData>
  <mergeCells count="2">
    <mergeCell ref="A1:A2"/>
    <mergeCell ref="C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E897-DA1C-4006-B8E9-F6B995C8666A}">
  <sheetPr>
    <tabColor theme="9" tint="0.59999389629810485"/>
  </sheetPr>
  <dimension ref="A1:N2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6" sqref="H16"/>
    </sheetView>
  </sheetViews>
  <sheetFormatPr defaultRowHeight="14.4" x14ac:dyDescent="0.3"/>
  <cols>
    <col min="1" max="1" width="31" bestFit="1" customWidth="1"/>
    <col min="3" max="5" width="9.88671875" bestFit="1" customWidth="1"/>
    <col min="7" max="11" width="11.109375" bestFit="1" customWidth="1"/>
  </cols>
  <sheetData>
    <row r="1" spans="1:14" ht="15" thickBot="1" x14ac:dyDescent="0.35">
      <c r="A1" s="263" t="s">
        <v>0</v>
      </c>
      <c r="B1" s="93"/>
      <c r="C1" s="265" t="s">
        <v>1</v>
      </c>
      <c r="D1" s="266"/>
      <c r="E1" s="266"/>
      <c r="F1" s="267"/>
      <c r="G1" s="268" t="s">
        <v>2</v>
      </c>
      <c r="H1" s="269"/>
      <c r="I1" s="269"/>
      <c r="J1" s="269"/>
      <c r="K1" s="270"/>
    </row>
    <row r="2" spans="1:14" ht="18.600000000000001" thickBot="1" x14ac:dyDescent="0.4">
      <c r="A2" s="264"/>
      <c r="B2" s="93" t="s">
        <v>3</v>
      </c>
      <c r="C2" s="94">
        <v>2022</v>
      </c>
      <c r="D2" s="95">
        <f>C2+1</f>
        <v>2023</v>
      </c>
      <c r="E2" s="95">
        <f>D2+1</f>
        <v>2024</v>
      </c>
      <c r="F2" s="97">
        <f>E2+1</f>
        <v>2025</v>
      </c>
      <c r="G2" s="89">
        <f>F2+1</f>
        <v>2026</v>
      </c>
      <c r="H2" s="90">
        <f t="shared" ref="H2:K2" si="0">G2+1</f>
        <v>2027</v>
      </c>
      <c r="I2" s="90">
        <f t="shared" si="0"/>
        <v>2028</v>
      </c>
      <c r="J2" s="90">
        <f t="shared" si="0"/>
        <v>2029</v>
      </c>
      <c r="K2" s="91">
        <f t="shared" si="0"/>
        <v>2030</v>
      </c>
    </row>
    <row r="3" spans="1:14" x14ac:dyDescent="0.3">
      <c r="B3" s="111" t="s">
        <v>42</v>
      </c>
      <c r="F3" s="76"/>
    </row>
    <row r="4" spans="1:14" x14ac:dyDescent="0.3">
      <c r="A4" s="40" t="s">
        <v>102</v>
      </c>
      <c r="C4" s="68">
        <v>41916.6</v>
      </c>
      <c r="D4" s="9">
        <f>C6</f>
        <v>41037.599999999999</v>
      </c>
      <c r="E4" s="9">
        <f>D6</f>
        <v>43570</v>
      </c>
      <c r="F4" s="70">
        <f>E6</f>
        <v>44177</v>
      </c>
      <c r="G4" s="214">
        <f>F6</f>
        <v>49290</v>
      </c>
      <c r="H4" s="214">
        <f>G6</f>
        <v>49626.425768582536</v>
      </c>
      <c r="I4" s="214">
        <f t="shared" ref="I4:K4" si="1">H6</f>
        <v>51718.656827595696</v>
      </c>
      <c r="J4" s="214">
        <f t="shared" si="1"/>
        <v>54705.26768799642</v>
      </c>
      <c r="K4" s="214">
        <f t="shared" si="1"/>
        <v>58126.584958559535</v>
      </c>
    </row>
    <row r="5" spans="1:14" x14ac:dyDescent="0.3">
      <c r="A5" s="40" t="s">
        <v>103</v>
      </c>
      <c r="C5" s="9">
        <f>C6-C4</f>
        <v>-879</v>
      </c>
      <c r="D5" s="9">
        <f>D6-D4</f>
        <v>2532.4000000000015</v>
      </c>
      <c r="E5" s="9">
        <f>E6-E4</f>
        <v>607</v>
      </c>
      <c r="F5" s="18">
        <f>F6-F4</f>
        <v>5113</v>
      </c>
      <c r="G5" s="214">
        <f>G6-G4</f>
        <v>336.42576858253597</v>
      </c>
      <c r="H5" s="214">
        <f t="shared" ref="H5:K5" si="2">H6-H4</f>
        <v>2092.2310590131601</v>
      </c>
      <c r="I5" s="214">
        <f t="shared" si="2"/>
        <v>2986.6108604007241</v>
      </c>
      <c r="J5" s="214">
        <f t="shared" si="2"/>
        <v>3421.317270563115</v>
      </c>
      <c r="K5" s="214">
        <f t="shared" si="2"/>
        <v>2944.5806779484192</v>
      </c>
    </row>
    <row r="6" spans="1:14" x14ac:dyDescent="0.3">
      <c r="A6" s="40" t="s">
        <v>104</v>
      </c>
      <c r="C6" s="68">
        <v>41037.599999999999</v>
      </c>
      <c r="D6" s="68">
        <v>43570</v>
      </c>
      <c r="E6" s="4">
        <v>44177</v>
      </c>
      <c r="F6" s="71">
        <v>49290</v>
      </c>
      <c r="G6" s="214">
        <f>'P&amp;L'!G4/Capex!G15</f>
        <v>49626.425768582536</v>
      </c>
      <c r="H6" s="214">
        <f>'P&amp;L'!H4/Capex!H15</f>
        <v>51718.656827595696</v>
      </c>
      <c r="I6" s="214">
        <f>'P&amp;L'!I4/Capex!I15</f>
        <v>54705.26768799642</v>
      </c>
      <c r="J6" s="214">
        <f>'P&amp;L'!J4/Capex!J15</f>
        <v>58126.584958559535</v>
      </c>
      <c r="K6" s="214">
        <f>'P&amp;L'!K4/Capex!K15</f>
        <v>61071.165636507954</v>
      </c>
    </row>
    <row r="7" spans="1:14" x14ac:dyDescent="0.3">
      <c r="A7" s="40" t="s">
        <v>105</v>
      </c>
      <c r="C7" s="68">
        <v>-17264</v>
      </c>
      <c r="D7" s="68">
        <v>-18662.400000000001</v>
      </c>
      <c r="E7" s="4">
        <v>-18882</v>
      </c>
      <c r="F7" s="71">
        <v>-21049</v>
      </c>
      <c r="G7" s="213">
        <f>F7-G11</f>
        <v>-22194.767346817749</v>
      </c>
      <c r="H7" s="213">
        <f t="shared" ref="H7:K7" si="3">G7-H11</f>
        <v>-23388.839805121745</v>
      </c>
      <c r="I7" s="213">
        <f t="shared" si="3"/>
        <v>-24651.866679314073</v>
      </c>
      <c r="J7" s="213">
        <f t="shared" si="3"/>
        <v>-25993.884404670956</v>
      </c>
      <c r="K7" s="213">
        <f t="shared" si="3"/>
        <v>-27403.886159476111</v>
      </c>
    </row>
    <row r="8" spans="1:14" ht="15" thickBot="1" x14ac:dyDescent="0.35">
      <c r="A8" s="72" t="s">
        <v>106</v>
      </c>
      <c r="B8" s="8"/>
      <c r="C8" s="73">
        <v>23773.599999999999</v>
      </c>
      <c r="D8" s="73">
        <v>24907.599999999999</v>
      </c>
      <c r="E8" s="74">
        <v>25295</v>
      </c>
      <c r="F8" s="75">
        <v>28241</v>
      </c>
      <c r="G8" s="215">
        <f>G6+G7</f>
        <v>27431.658421764787</v>
      </c>
      <c r="H8" s="215">
        <f t="shared" ref="H8:K8" si="4">H6+H7</f>
        <v>28329.817022473952</v>
      </c>
      <c r="I8" s="215">
        <f t="shared" si="4"/>
        <v>30053.401008682347</v>
      </c>
      <c r="J8" s="215">
        <f t="shared" si="4"/>
        <v>32132.700553888579</v>
      </c>
      <c r="K8" s="215">
        <f t="shared" si="4"/>
        <v>33667.279477031843</v>
      </c>
      <c r="N8" s="2"/>
    </row>
    <row r="9" spans="1:14" x14ac:dyDescent="0.3">
      <c r="F9" s="18"/>
    </row>
    <row r="10" spans="1:14" x14ac:dyDescent="0.3">
      <c r="F10" s="18"/>
    </row>
    <row r="11" spans="1:14" x14ac:dyDescent="0.3">
      <c r="A11" t="s">
        <v>108</v>
      </c>
      <c r="C11" s="9">
        <f>C13-C12</f>
        <v>1006.3</v>
      </c>
      <c r="D11" s="9">
        <f t="shared" ref="D11:F11" si="5">D13-D12</f>
        <v>1142</v>
      </c>
      <c r="E11" s="9">
        <f t="shared" si="5"/>
        <v>1190</v>
      </c>
      <c r="F11" s="77">
        <f t="shared" si="5"/>
        <v>1138</v>
      </c>
      <c r="G11" s="213">
        <f>G6*G14</f>
        <v>1145.7673468177504</v>
      </c>
      <c r="H11" s="213">
        <f t="shared" ref="H11:K11" si="6">H6*H14</f>
        <v>1194.0724583039946</v>
      </c>
      <c r="I11" s="213">
        <f t="shared" si="6"/>
        <v>1263.0268741923296</v>
      </c>
      <c r="J11" s="213">
        <f t="shared" si="6"/>
        <v>1342.0177253568827</v>
      </c>
      <c r="K11" s="213">
        <f t="shared" si="6"/>
        <v>1410.0017548051542</v>
      </c>
    </row>
    <row r="12" spans="1:14" x14ac:dyDescent="0.3">
      <c r="A12" t="s">
        <v>109</v>
      </c>
      <c r="C12" s="69">
        <v>864.3</v>
      </c>
      <c r="D12" s="69">
        <v>836</v>
      </c>
      <c r="E12" s="69">
        <v>907</v>
      </c>
      <c r="F12" s="71">
        <v>1061</v>
      </c>
      <c r="G12">
        <f>0</f>
        <v>0</v>
      </c>
      <c r="H12">
        <f>0</f>
        <v>0</v>
      </c>
      <c r="I12">
        <f>0</f>
        <v>0</v>
      </c>
      <c r="J12">
        <f>0</f>
        <v>0</v>
      </c>
      <c r="K12">
        <f>0</f>
        <v>0</v>
      </c>
    </row>
    <row r="13" spans="1:14" x14ac:dyDescent="0.3">
      <c r="A13" t="s">
        <v>107</v>
      </c>
      <c r="C13" s="68">
        <v>1870.6</v>
      </c>
      <c r="D13" s="4">
        <v>1978</v>
      </c>
      <c r="E13" s="4">
        <v>2097</v>
      </c>
      <c r="F13" s="71">
        <v>2199</v>
      </c>
      <c r="G13" s="213">
        <f>G11</f>
        <v>1145.7673468177504</v>
      </c>
      <c r="H13" s="213">
        <f t="shared" ref="H13:K13" si="7">H11</f>
        <v>1194.0724583039946</v>
      </c>
      <c r="I13" s="213">
        <f t="shared" si="7"/>
        <v>1263.0268741923296</v>
      </c>
      <c r="J13" s="213">
        <f t="shared" si="7"/>
        <v>1342.0177253568827</v>
      </c>
      <c r="K13" s="213">
        <f t="shared" si="7"/>
        <v>1410.0017548051542</v>
      </c>
    </row>
    <row r="14" spans="1:14" x14ac:dyDescent="0.3">
      <c r="A14" s="40" t="s">
        <v>110</v>
      </c>
      <c r="C14" s="46">
        <f>C11/C6</f>
        <v>2.4521414507671015E-2</v>
      </c>
      <c r="D14" s="46">
        <f t="shared" ref="D14:F14" si="8">D11/D6</f>
        <v>2.6210695432637137E-2</v>
      </c>
      <c r="E14" s="46">
        <f t="shared" si="8"/>
        <v>2.6937093962921883E-2</v>
      </c>
      <c r="F14" s="78">
        <f t="shared" si="8"/>
        <v>2.3087847433556501E-2</v>
      </c>
      <c r="G14" s="47">
        <f>F14</f>
        <v>2.3087847433556501E-2</v>
      </c>
      <c r="H14" s="47">
        <f>G14</f>
        <v>2.3087847433556501E-2</v>
      </c>
      <c r="I14" s="47">
        <f t="shared" ref="I14:K14" si="9">H14</f>
        <v>2.3087847433556501E-2</v>
      </c>
      <c r="J14" s="47">
        <f t="shared" si="9"/>
        <v>2.3087847433556501E-2</v>
      </c>
      <c r="K14" s="47">
        <f t="shared" si="9"/>
        <v>2.3087847433556501E-2</v>
      </c>
    </row>
    <row r="15" spans="1:14" x14ac:dyDescent="0.3">
      <c r="A15" s="40" t="s">
        <v>111</v>
      </c>
      <c r="C15" s="211">
        <f>'P&amp;L'!C4/Capex!C6</f>
        <v>0.5649209505429168</v>
      </c>
      <c r="D15" s="211">
        <f>'P&amp;L'!D4/Capex!D6</f>
        <v>0.58512738122561392</v>
      </c>
      <c r="E15" s="211">
        <f>'P&amp;L'!E4/Capex!E6</f>
        <v>0.58673065169658423</v>
      </c>
      <c r="F15" s="211">
        <f>'P&amp;L'!F4/Capex!F6</f>
        <v>0.54543903428687368</v>
      </c>
      <c r="G15" s="212">
        <f>AVERAGE(C15:F15)</f>
        <v>0.57055450443799716</v>
      </c>
      <c r="H15" s="212">
        <f t="shared" ref="H15:K15" si="10">AVERAGE(D15:G15)</f>
        <v>0.57196289291176727</v>
      </c>
      <c r="I15" s="212">
        <f t="shared" si="10"/>
        <v>0.56867177083330556</v>
      </c>
      <c r="J15" s="212">
        <f t="shared" si="10"/>
        <v>0.564157050617486</v>
      </c>
      <c r="K15" s="212">
        <f t="shared" si="10"/>
        <v>0.56883655470013905</v>
      </c>
    </row>
    <row r="20" spans="7:7" x14ac:dyDescent="0.3">
      <c r="G20" s="2"/>
    </row>
  </sheetData>
  <mergeCells count="3">
    <mergeCell ref="A1:A2"/>
    <mergeCell ref="C1:F1"/>
    <mergeCell ref="G1:K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0BE7-9D16-4284-9B77-76C02133529B}">
  <sheetPr>
    <tabColor theme="9" tint="0.59999389629810485"/>
  </sheetPr>
  <dimension ref="A1:I27"/>
  <sheetViews>
    <sheetView showGridLines="0" workbookViewId="0">
      <selection activeCell="A15" sqref="A15"/>
    </sheetView>
  </sheetViews>
  <sheetFormatPr defaultRowHeight="14.4" x14ac:dyDescent="0.3"/>
  <cols>
    <col min="1" max="1" width="40.77734375" bestFit="1" customWidth="1"/>
    <col min="2" max="2" width="4.5546875" bestFit="1" customWidth="1"/>
    <col min="3" max="7" width="8.109375" bestFit="1" customWidth="1"/>
    <col min="9" max="9" width="10.109375" bestFit="1" customWidth="1"/>
  </cols>
  <sheetData>
    <row r="1" spans="1:9" ht="15" thickBot="1" x14ac:dyDescent="0.35">
      <c r="A1" s="288" t="s">
        <v>0</v>
      </c>
      <c r="B1" s="202"/>
      <c r="C1" s="290" t="s">
        <v>2</v>
      </c>
      <c r="D1" s="291"/>
      <c r="E1" s="291"/>
      <c r="F1" s="291"/>
      <c r="G1" s="292"/>
    </row>
    <row r="2" spans="1:9" ht="18.600000000000001" thickBot="1" x14ac:dyDescent="0.4">
      <c r="A2" s="289"/>
      <c r="B2" s="202" t="s">
        <v>3</v>
      </c>
      <c r="C2" s="199">
        <v>2026</v>
      </c>
      <c r="D2" s="200">
        <f t="shared" ref="D2:G2" si="0">C2+1</f>
        <v>2027</v>
      </c>
      <c r="E2" s="200">
        <f t="shared" si="0"/>
        <v>2028</v>
      </c>
      <c r="F2" s="200">
        <f t="shared" si="0"/>
        <v>2029</v>
      </c>
      <c r="G2" s="201">
        <f t="shared" si="0"/>
        <v>2030</v>
      </c>
    </row>
    <row r="3" spans="1:9" x14ac:dyDescent="0.3">
      <c r="B3" s="186" t="s">
        <v>42</v>
      </c>
      <c r="C3" s="187"/>
      <c r="D3" s="187"/>
      <c r="E3" s="187"/>
      <c r="F3" s="187"/>
      <c r="G3" s="187"/>
      <c r="H3" s="203"/>
    </row>
    <row r="4" spans="1:9" x14ac:dyDescent="0.3">
      <c r="A4" s="39" t="s">
        <v>27</v>
      </c>
      <c r="B4" s="56"/>
      <c r="C4" s="188"/>
      <c r="D4" s="188"/>
      <c r="E4" s="188"/>
      <c r="F4" s="188"/>
      <c r="G4" s="188"/>
    </row>
    <row r="5" spans="1:9" x14ac:dyDescent="0.3">
      <c r="A5" s="40" t="s">
        <v>189</v>
      </c>
      <c r="B5" s="56"/>
      <c r="C5" s="188">
        <f>'Balance Sheet'!C21+'Balance Sheet'!F29</f>
        <v>39973</v>
      </c>
      <c r="D5" s="188">
        <f>C8</f>
        <v>37669.210544910893</v>
      </c>
      <c r="E5" s="188">
        <f t="shared" ref="E5:G5" si="1">D8</f>
        <v>38942.480088417462</v>
      </c>
      <c r="F5" s="188">
        <f t="shared" si="1"/>
        <v>40153.150338211213</v>
      </c>
      <c r="G5" s="188">
        <f t="shared" si="1"/>
        <v>41624.253452243909</v>
      </c>
      <c r="I5" s="40"/>
    </row>
    <row r="6" spans="1:9" x14ac:dyDescent="0.3">
      <c r="A6" s="40" t="s">
        <v>190</v>
      </c>
      <c r="B6" s="56"/>
      <c r="C6" s="188">
        <f>C8+C7-C5</f>
        <v>-2303.7894550891069</v>
      </c>
      <c r="D6" s="188">
        <f t="shared" ref="D6:G6" si="2">D8+D7-D5</f>
        <v>4474.2695435065689</v>
      </c>
      <c r="E6" s="188">
        <f t="shared" si="2"/>
        <v>6376.6702497937513</v>
      </c>
      <c r="F6" s="188">
        <f t="shared" si="2"/>
        <v>5108.1031140326959</v>
      </c>
      <c r="G6" s="188">
        <f t="shared" si="2"/>
        <v>4568.1758170971007</v>
      </c>
      <c r="I6" s="40"/>
    </row>
    <row r="7" spans="1:9" x14ac:dyDescent="0.3">
      <c r="A7" s="40" t="s">
        <v>191</v>
      </c>
      <c r="B7" s="56"/>
      <c r="C7" s="204">
        <v>0</v>
      </c>
      <c r="D7" s="204">
        <v>3201</v>
      </c>
      <c r="E7" s="204">
        <v>5166</v>
      </c>
      <c r="F7" s="204">
        <v>3637</v>
      </c>
      <c r="G7" s="204">
        <v>3011</v>
      </c>
      <c r="I7" s="220"/>
    </row>
    <row r="8" spans="1:9" x14ac:dyDescent="0.3">
      <c r="A8" s="156" t="s">
        <v>188</v>
      </c>
      <c r="B8" s="205"/>
      <c r="C8" s="206">
        <f>C14*'P&amp;L'!G37</f>
        <v>37669.210544910893</v>
      </c>
      <c r="D8" s="206">
        <f>D14*'P&amp;L'!H37</f>
        <v>38942.480088417462</v>
      </c>
      <c r="E8" s="206">
        <f>E14*'P&amp;L'!I37</f>
        <v>40153.150338211213</v>
      </c>
      <c r="F8" s="206">
        <f>F14*'P&amp;L'!J37</f>
        <v>41624.253452243909</v>
      </c>
      <c r="G8" s="206">
        <f>G14*'P&amp;L'!K37</f>
        <v>43181.42926934101</v>
      </c>
      <c r="H8" s="39"/>
      <c r="I8" s="41"/>
    </row>
    <row r="9" spans="1:9" x14ac:dyDescent="0.3">
      <c r="B9" s="56"/>
      <c r="C9" s="188"/>
      <c r="D9" s="188"/>
      <c r="E9" s="188"/>
      <c r="F9" s="188"/>
      <c r="G9" s="188"/>
      <c r="I9" s="40"/>
    </row>
    <row r="10" spans="1:9" x14ac:dyDescent="0.3">
      <c r="A10" s="40" t="s">
        <v>192</v>
      </c>
      <c r="B10" s="56"/>
      <c r="C10" s="207">
        <v>4.3999999999999997E-2</v>
      </c>
      <c r="D10" s="208">
        <f>C10</f>
        <v>4.3999999999999997E-2</v>
      </c>
      <c r="E10" s="208">
        <f t="shared" ref="E10:G10" si="3">D10</f>
        <v>4.3999999999999997E-2</v>
      </c>
      <c r="F10" s="208">
        <f t="shared" si="3"/>
        <v>4.3999999999999997E-2</v>
      </c>
      <c r="G10" s="208">
        <f t="shared" si="3"/>
        <v>4.3999999999999997E-2</v>
      </c>
      <c r="H10" s="208"/>
      <c r="I10" s="40"/>
    </row>
    <row r="11" spans="1:9" x14ac:dyDescent="0.3">
      <c r="B11" s="56"/>
      <c r="C11" s="188"/>
      <c r="D11" s="188"/>
      <c r="E11" s="188"/>
      <c r="F11" s="188"/>
      <c r="G11" s="188"/>
      <c r="I11" s="40"/>
    </row>
    <row r="12" spans="1:9" x14ac:dyDescent="0.3">
      <c r="A12" s="40" t="s">
        <v>181</v>
      </c>
      <c r="B12" s="56"/>
      <c r="C12" s="188">
        <f>AVERAGE(C5:C8)*C10</f>
        <v>828.72263198803955</v>
      </c>
      <c r="D12" s="188">
        <f t="shared" ref="D12:G12" si="4">AVERAGE(D5:D8)*D10</f>
        <v>927.15656194518408</v>
      </c>
      <c r="E12" s="188">
        <f t="shared" si="4"/>
        <v>997.02130744064664</v>
      </c>
      <c r="F12" s="188">
        <f t="shared" si="4"/>
        <v>995.74757594936591</v>
      </c>
      <c r="G12" s="188">
        <f t="shared" si="4"/>
        <v>1016.2334439255021</v>
      </c>
      <c r="I12" s="40"/>
    </row>
    <row r="13" spans="1:9" x14ac:dyDescent="0.3">
      <c r="B13" s="56"/>
      <c r="C13" s="188"/>
      <c r="D13" s="188"/>
      <c r="E13" s="188"/>
      <c r="F13" s="188"/>
      <c r="G13" s="188"/>
      <c r="I13" s="40"/>
    </row>
    <row r="14" spans="1:9" x14ac:dyDescent="0.3">
      <c r="A14" s="40" t="s">
        <v>193</v>
      </c>
      <c r="B14" s="56"/>
      <c r="C14" s="209">
        <f>'Balance Sheet'!G73</f>
        <v>2.6915637706377438</v>
      </c>
      <c r="D14" s="209">
        <f>'Balance Sheet'!H73</f>
        <v>2.6436728279783077</v>
      </c>
      <c r="E14" s="209">
        <f>'Balance Sheet'!I73</f>
        <v>2.5957818853188717</v>
      </c>
      <c r="F14" s="209">
        <f>'Balance Sheet'!J73</f>
        <v>2.5478909426594356</v>
      </c>
      <c r="G14" s="209">
        <f>'Balance Sheet'!K73</f>
        <v>2.5</v>
      </c>
      <c r="I14" s="40"/>
    </row>
    <row r="15" spans="1:9" x14ac:dyDescent="0.3">
      <c r="B15" s="56"/>
      <c r="C15" s="188"/>
      <c r="D15" s="188"/>
      <c r="E15" s="188"/>
      <c r="F15" s="188"/>
      <c r="G15" s="188"/>
      <c r="I15" s="40"/>
    </row>
    <row r="16" spans="1:9" x14ac:dyDescent="0.3">
      <c r="A16" s="39"/>
      <c r="B16" s="186"/>
      <c r="C16" s="188"/>
      <c r="D16" s="188"/>
      <c r="E16" s="188"/>
      <c r="F16" s="188"/>
      <c r="G16" s="188"/>
      <c r="I16" s="40"/>
    </row>
    <row r="17" spans="1:9" x14ac:dyDescent="0.3">
      <c r="A17" s="40"/>
      <c r="B17" s="56"/>
      <c r="C17" s="189"/>
      <c r="D17" s="188"/>
      <c r="E17" s="188"/>
      <c r="F17" s="188"/>
      <c r="G17" s="188"/>
      <c r="I17" s="40"/>
    </row>
    <row r="18" spans="1:9" x14ac:dyDescent="0.3">
      <c r="A18" s="40"/>
      <c r="B18" s="56"/>
      <c r="C18" s="188"/>
      <c r="D18" s="188"/>
      <c r="E18" s="188"/>
      <c r="F18" s="188"/>
      <c r="G18" s="188"/>
      <c r="I18" s="40"/>
    </row>
    <row r="19" spans="1:9" x14ac:dyDescent="0.3">
      <c r="A19" s="40"/>
      <c r="B19" s="56"/>
      <c r="C19" s="188"/>
      <c r="D19" s="188"/>
      <c r="E19" s="188"/>
      <c r="F19" s="188"/>
      <c r="G19" s="188"/>
      <c r="I19" s="40"/>
    </row>
    <row r="20" spans="1:9" x14ac:dyDescent="0.3">
      <c r="A20" s="39"/>
      <c r="B20" s="186"/>
      <c r="C20" s="187"/>
      <c r="D20" s="187"/>
      <c r="E20" s="187"/>
      <c r="F20" s="187"/>
      <c r="G20" s="187"/>
      <c r="H20" s="39"/>
      <c r="I20" s="41"/>
    </row>
    <row r="21" spans="1:9" x14ac:dyDescent="0.3">
      <c r="B21" s="56"/>
      <c r="C21" s="188"/>
      <c r="D21" s="188"/>
      <c r="E21" s="188"/>
      <c r="F21" s="188"/>
      <c r="G21" s="188"/>
      <c r="I21" s="40"/>
    </row>
    <row r="22" spans="1:9" x14ac:dyDescent="0.3">
      <c r="B22" s="56"/>
      <c r="C22" s="188"/>
      <c r="D22" s="188"/>
      <c r="E22" s="188"/>
      <c r="F22" s="188"/>
      <c r="G22" s="188"/>
      <c r="I22" s="40"/>
    </row>
    <row r="23" spans="1:9" x14ac:dyDescent="0.3">
      <c r="A23" s="40"/>
      <c r="B23" s="56"/>
      <c r="C23" s="207"/>
      <c r="D23" s="208"/>
      <c r="E23" s="208"/>
      <c r="F23" s="208"/>
      <c r="G23" s="208"/>
      <c r="I23" s="40"/>
    </row>
    <row r="24" spans="1:9" x14ac:dyDescent="0.3">
      <c r="B24" s="56"/>
      <c r="C24" s="188"/>
      <c r="D24" s="188"/>
      <c r="E24" s="188"/>
      <c r="F24" s="188"/>
      <c r="G24" s="188"/>
      <c r="I24" s="40"/>
    </row>
    <row r="25" spans="1:9" x14ac:dyDescent="0.3">
      <c r="A25" s="40"/>
      <c r="B25" s="56"/>
      <c r="C25" s="188"/>
      <c r="D25" s="188"/>
      <c r="E25" s="188"/>
      <c r="F25" s="188"/>
      <c r="G25" s="188"/>
      <c r="I25" s="40"/>
    </row>
    <row r="26" spans="1:9" x14ac:dyDescent="0.3">
      <c r="B26" s="56"/>
      <c r="C26" s="188"/>
      <c r="D26" s="188"/>
      <c r="E26" s="188"/>
      <c r="F26" s="188"/>
      <c r="G26" s="188"/>
      <c r="I26" s="40"/>
    </row>
    <row r="27" spans="1:9" x14ac:dyDescent="0.3">
      <c r="B27" s="56"/>
      <c r="C27" s="210"/>
      <c r="D27" s="210"/>
      <c r="E27" s="210"/>
      <c r="F27" s="210"/>
      <c r="G27" s="210"/>
      <c r="I27" s="40"/>
    </row>
  </sheetData>
  <mergeCells count="2">
    <mergeCell ref="A1:A2"/>
    <mergeCell ref="C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4942-1909-428D-B9A2-1B9F2CD668AC}">
  <sheetPr>
    <tabColor theme="9" tint="0.59999389629810485"/>
  </sheetPr>
  <dimension ref="A1:L17"/>
  <sheetViews>
    <sheetView showGridLines="0" workbookViewId="0">
      <selection activeCell="B4" sqref="B4"/>
    </sheetView>
  </sheetViews>
  <sheetFormatPr defaultRowHeight="14.4" x14ac:dyDescent="0.3"/>
  <cols>
    <col min="1" max="1" width="27.109375" bestFit="1" customWidth="1"/>
    <col min="2" max="2" width="20.44140625" bestFit="1" customWidth="1"/>
  </cols>
  <sheetData>
    <row r="1" spans="1:12" ht="18" x14ac:dyDescent="0.35">
      <c r="A1" s="293" t="s">
        <v>0</v>
      </c>
      <c r="B1" s="98"/>
    </row>
    <row r="2" spans="1:12" ht="18" x14ac:dyDescent="0.35">
      <c r="A2" s="293"/>
      <c r="B2" s="98" t="s">
        <v>3</v>
      </c>
    </row>
    <row r="3" spans="1:12" x14ac:dyDescent="0.3">
      <c r="I3" s="64"/>
    </row>
    <row r="4" spans="1:12" x14ac:dyDescent="0.3">
      <c r="A4" s="3" t="s">
        <v>78</v>
      </c>
      <c r="B4" s="66">
        <f>B17</f>
        <v>3.7416026465744906E-2</v>
      </c>
    </row>
    <row r="5" spans="1:12" x14ac:dyDescent="0.3">
      <c r="A5" t="s">
        <v>54</v>
      </c>
      <c r="B5" s="67">
        <f>25%</f>
        <v>0.25</v>
      </c>
      <c r="F5" s="64"/>
    </row>
    <row r="7" spans="1:12" x14ac:dyDescent="0.3">
      <c r="A7" s="3" t="s">
        <v>79</v>
      </c>
      <c r="F7" s="64" t="s">
        <v>77</v>
      </c>
      <c r="L7" s="64"/>
    </row>
    <row r="8" spans="1:12" x14ac:dyDescent="0.3">
      <c r="A8" t="s">
        <v>89</v>
      </c>
    </row>
    <row r="9" spans="1:12" x14ac:dyDescent="0.3">
      <c r="A9" t="s">
        <v>80</v>
      </c>
      <c r="B9">
        <v>100</v>
      </c>
    </row>
    <row r="10" spans="1:12" x14ac:dyDescent="0.3">
      <c r="A10" t="s">
        <v>81</v>
      </c>
      <c r="B10">
        <v>100.084</v>
      </c>
      <c r="F10" t="s">
        <v>272</v>
      </c>
    </row>
    <row r="11" spans="1:12" x14ac:dyDescent="0.3">
      <c r="A11" t="s">
        <v>82</v>
      </c>
      <c r="B11" s="65">
        <v>46199</v>
      </c>
    </row>
    <row r="12" spans="1:12" x14ac:dyDescent="0.3">
      <c r="A12" t="s">
        <v>88</v>
      </c>
      <c r="B12" s="65">
        <v>49718</v>
      </c>
    </row>
    <row r="13" spans="1:12" x14ac:dyDescent="0.3">
      <c r="A13" t="s">
        <v>83</v>
      </c>
      <c r="B13">
        <f>YEARFRAC(B12,B11,0)</f>
        <v>9.6305555555555564</v>
      </c>
    </row>
    <row r="14" spans="1:12" x14ac:dyDescent="0.3">
      <c r="A14" t="s">
        <v>84</v>
      </c>
      <c r="B14" s="47">
        <v>0.05</v>
      </c>
    </row>
    <row r="15" spans="1:12" x14ac:dyDescent="0.3">
      <c r="A15" t="s">
        <v>85</v>
      </c>
      <c r="B15">
        <f>B14*B9</f>
        <v>5</v>
      </c>
    </row>
    <row r="16" spans="1:12" x14ac:dyDescent="0.3">
      <c r="A16" t="s">
        <v>86</v>
      </c>
      <c r="B16" s="66">
        <f>RATE(B13,B15,-B10,B9,0)</f>
        <v>4.9888035287659872E-2</v>
      </c>
    </row>
    <row r="17" spans="1:2" x14ac:dyDescent="0.3">
      <c r="A17" t="s">
        <v>87</v>
      </c>
      <c r="B17" s="66">
        <f>B16*(1-B5)</f>
        <v>3.7416026465744906E-2</v>
      </c>
    </row>
  </sheetData>
  <mergeCells count="1">
    <mergeCell ref="A1:A2"/>
  </mergeCells>
  <hyperlinks>
    <hyperlink ref="F7" r:id="rId1" xr:uid="{2FC1ACAC-F50F-4A79-8CB2-20FA1A9FB64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200D-40AD-455E-B030-F20EB776643F}">
  <sheetPr>
    <tabColor theme="9" tint="0.59999389629810485"/>
  </sheetPr>
  <dimension ref="A1:P331"/>
  <sheetViews>
    <sheetView showGridLines="0" zoomScale="85" zoomScaleNormal="85" workbookViewId="0">
      <selection activeCell="G39" sqref="G39"/>
    </sheetView>
  </sheetViews>
  <sheetFormatPr defaultRowHeight="14.4" x14ac:dyDescent="0.3"/>
  <cols>
    <col min="1" max="1" width="36.33203125" bestFit="1" customWidth="1"/>
    <col min="2" max="2" width="20.44140625" bestFit="1" customWidth="1"/>
    <col min="3" max="3" width="12.6640625" bestFit="1" customWidth="1"/>
    <col min="4" max="4" width="8.33203125" customWidth="1"/>
    <col min="5" max="5" width="9.33203125" bestFit="1" customWidth="1"/>
    <col min="6" max="6" width="12.44140625" bestFit="1" customWidth="1"/>
    <col min="7" max="7" width="12.33203125" bestFit="1" customWidth="1"/>
    <col min="8" max="8" width="7.44140625" bestFit="1" customWidth="1"/>
    <col min="9" max="9" width="9.6640625" bestFit="1" customWidth="1"/>
    <col min="10" max="10" width="9.88671875" customWidth="1"/>
    <col min="11" max="11" width="8.6640625" bestFit="1" customWidth="1"/>
    <col min="12" max="12" width="9.6640625" bestFit="1" customWidth="1"/>
    <col min="14" max="14" width="7.44140625" bestFit="1" customWidth="1"/>
    <col min="15" max="15" width="10.5546875" bestFit="1" customWidth="1"/>
  </cols>
  <sheetData>
    <row r="1" spans="1:10" x14ac:dyDescent="0.3">
      <c r="A1" s="294" t="s">
        <v>125</v>
      </c>
    </row>
    <row r="2" spans="1:10" x14ac:dyDescent="0.3">
      <c r="A2" s="295"/>
    </row>
    <row r="3" spans="1:10" x14ac:dyDescent="0.3">
      <c r="A3" s="39"/>
    </row>
    <row r="4" spans="1:10" x14ac:dyDescent="0.3">
      <c r="A4" s="3" t="s">
        <v>46</v>
      </c>
      <c r="I4" t="s">
        <v>70</v>
      </c>
      <c r="J4" s="64" t="s">
        <v>95</v>
      </c>
    </row>
    <row r="5" spans="1:10" x14ac:dyDescent="0.3">
      <c r="A5" s="40" t="s">
        <v>47</v>
      </c>
      <c r="B5" s="47">
        <v>4.3920000000000001E-2</v>
      </c>
      <c r="C5" s="64" t="s">
        <v>101</v>
      </c>
      <c r="I5" t="s">
        <v>63</v>
      </c>
      <c r="J5" s="64" t="s">
        <v>96</v>
      </c>
    </row>
    <row r="6" spans="1:10" x14ac:dyDescent="0.3">
      <c r="A6" s="40" t="s">
        <v>48</v>
      </c>
      <c r="B6" s="47">
        <f>B16</f>
        <v>7.6796403296925275E-2</v>
      </c>
      <c r="I6" t="s">
        <v>68</v>
      </c>
      <c r="J6" s="64" t="s">
        <v>97</v>
      </c>
    </row>
    <row r="7" spans="1:10" x14ac:dyDescent="0.3">
      <c r="A7" s="41" t="s">
        <v>49</v>
      </c>
      <c r="B7" s="61">
        <f>B27</f>
        <v>0.57673778906667417</v>
      </c>
      <c r="I7" t="s">
        <v>61</v>
      </c>
      <c r="J7" s="64" t="s">
        <v>98</v>
      </c>
    </row>
    <row r="8" spans="1:10" x14ac:dyDescent="0.3">
      <c r="A8" s="39" t="s">
        <v>50</v>
      </c>
      <c r="B8" s="47">
        <f>B5+B7*(B6-B5)</f>
        <v>6.2881064149932997E-2</v>
      </c>
      <c r="I8" t="s">
        <v>100</v>
      </c>
      <c r="J8" s="64" t="s">
        <v>99</v>
      </c>
    </row>
    <row r="10" spans="1:10" ht="15" thickBot="1" x14ac:dyDescent="0.35"/>
    <row r="11" spans="1:10" ht="44.4" thickTop="1" thickBot="1" x14ac:dyDescent="0.35">
      <c r="A11" s="53" t="s">
        <v>51</v>
      </c>
      <c r="B11" s="54" t="s">
        <v>55</v>
      </c>
      <c r="C11" s="51" t="s">
        <v>56</v>
      </c>
    </row>
    <row r="12" spans="1:10" ht="15" thickTop="1" x14ac:dyDescent="0.3">
      <c r="A12" s="42">
        <v>31048</v>
      </c>
      <c r="B12" s="44">
        <v>1985</v>
      </c>
      <c r="C12" s="45">
        <v>1097.02</v>
      </c>
    </row>
    <row r="13" spans="1:10" x14ac:dyDescent="0.3">
      <c r="A13" s="42">
        <v>46198</v>
      </c>
      <c r="B13" s="44">
        <v>2026</v>
      </c>
      <c r="C13" s="9">
        <v>23610.73</v>
      </c>
    </row>
    <row r="14" spans="1:10" x14ac:dyDescent="0.3">
      <c r="A14" s="42"/>
    </row>
    <row r="15" spans="1:10" x14ac:dyDescent="0.3">
      <c r="A15" s="43" t="s">
        <v>52</v>
      </c>
      <c r="B15">
        <f>YEARFRAC(A12,A13,1)</f>
        <v>41.479791395045631</v>
      </c>
    </row>
    <row r="16" spans="1:10" x14ac:dyDescent="0.3">
      <c r="A16" s="43" t="s">
        <v>53</v>
      </c>
      <c r="B16" s="46">
        <f>(C13/C12)^(1/B15)-1</f>
        <v>7.6796403296925275E-2</v>
      </c>
    </row>
    <row r="17" spans="1:10" x14ac:dyDescent="0.3">
      <c r="A17" s="40" t="s">
        <v>54</v>
      </c>
      <c r="B17" s="62">
        <v>0.25</v>
      </c>
    </row>
    <row r="18" spans="1:10" x14ac:dyDescent="0.3">
      <c r="A18" s="40"/>
    </row>
    <row r="19" spans="1:10" ht="15" thickBot="1" x14ac:dyDescent="0.35"/>
    <row r="20" spans="1:10" ht="44.4" thickTop="1" thickBot="1" x14ac:dyDescent="0.35">
      <c r="A20" s="50"/>
      <c r="B20" s="51" t="s">
        <v>64</v>
      </c>
      <c r="C20" s="52" t="s">
        <v>57</v>
      </c>
      <c r="D20" s="52" t="s">
        <v>58</v>
      </c>
      <c r="E20" s="52" t="s">
        <v>65</v>
      </c>
      <c r="F20" s="52" t="s">
        <v>66</v>
      </c>
    </row>
    <row r="21" spans="1:10" ht="15" thickTop="1" x14ac:dyDescent="0.3">
      <c r="A21" t="s">
        <v>67</v>
      </c>
      <c r="B21" s="61">
        <f>F45</f>
        <v>0.59182077097439856</v>
      </c>
      <c r="C21" s="2">
        <f>B35</f>
        <v>213489.33333333334</v>
      </c>
      <c r="D21" s="2">
        <f>B39</f>
        <v>36370.666666666664</v>
      </c>
      <c r="E21" s="2">
        <f>C21+D21</f>
        <v>249860</v>
      </c>
      <c r="F21" s="61">
        <f>B21/(1+(1-$B$17)*D21/C21)</f>
        <v>0.52476978541445418</v>
      </c>
    </row>
    <row r="22" spans="1:10" x14ac:dyDescent="0.3">
      <c r="A22" t="s">
        <v>68</v>
      </c>
      <c r="B22" s="61">
        <f>O45</f>
        <v>0.7743938746439083</v>
      </c>
      <c r="C22" s="2">
        <f>C35</f>
        <v>2993.3333333333335</v>
      </c>
      <c r="D22" s="2">
        <f>C39</f>
        <v>2331.6666666666665</v>
      </c>
      <c r="E22" s="2">
        <f t="shared" ref="E22:E24" si="0">C22+D22</f>
        <v>5325</v>
      </c>
      <c r="F22" s="61">
        <f t="shared" ref="F22:F24" si="1">B22/(1+(1-$B$17)*D22/C22)</f>
        <v>0.4888186974292098</v>
      </c>
    </row>
    <row r="23" spans="1:10" x14ac:dyDescent="0.3">
      <c r="A23" t="s">
        <v>61</v>
      </c>
      <c r="B23" s="61">
        <f>L45</f>
        <v>0.72814674227068354</v>
      </c>
      <c r="C23" s="2">
        <f>D35</f>
        <v>38689.333333333336</v>
      </c>
      <c r="D23" s="2">
        <f>D39</f>
        <v>10867</v>
      </c>
      <c r="E23" s="2">
        <f t="shared" si="0"/>
        <v>49556.333333333336</v>
      </c>
      <c r="F23" s="61">
        <f t="shared" si="1"/>
        <v>0.60144668296489756</v>
      </c>
    </row>
    <row r="24" spans="1:10" x14ac:dyDescent="0.3">
      <c r="A24" t="s">
        <v>63</v>
      </c>
      <c r="B24" s="61">
        <f>I45</f>
        <v>0.60903945394198011</v>
      </c>
      <c r="C24" s="2">
        <f>E35</f>
        <v>22615</v>
      </c>
      <c r="D24" s="2">
        <f>E39</f>
        <v>12500.666666666666</v>
      </c>
      <c r="E24" s="2">
        <f t="shared" si="0"/>
        <v>35115.666666666664</v>
      </c>
      <c r="F24" s="61">
        <f t="shared" si="1"/>
        <v>0.43054742035597698</v>
      </c>
    </row>
    <row r="26" spans="1:10" x14ac:dyDescent="0.3">
      <c r="A26" s="57" t="s">
        <v>76</v>
      </c>
      <c r="B26" s="61">
        <f>AVERAGE(F21:F24)</f>
        <v>0.51139564654113467</v>
      </c>
    </row>
    <row r="27" spans="1:10" x14ac:dyDescent="0.3">
      <c r="A27" s="57" t="s">
        <v>119</v>
      </c>
      <c r="B27" s="61">
        <f>B26*(1+(1-B17)*D21/C21)</f>
        <v>0.57673778906667417</v>
      </c>
    </row>
    <row r="30" spans="1:10" ht="15" thickBot="1" x14ac:dyDescent="0.35"/>
    <row r="31" spans="1:10" ht="15.6" thickTop="1" thickBot="1" x14ac:dyDescent="0.35">
      <c r="A31" s="50"/>
      <c r="B31" s="50" t="s">
        <v>59</v>
      </c>
      <c r="C31" s="50" t="s">
        <v>60</v>
      </c>
      <c r="D31" s="50" t="s">
        <v>62</v>
      </c>
      <c r="E31" s="50" t="s">
        <v>63</v>
      </c>
      <c r="I31" s="163" t="s">
        <v>273</v>
      </c>
    </row>
    <row r="32" spans="1:10" ht="15" thickTop="1" x14ac:dyDescent="0.3">
      <c r="A32" s="48">
        <v>2023</v>
      </c>
      <c r="B32" s="4">
        <v>215071</v>
      </c>
      <c r="C32" s="4">
        <v>4028</v>
      </c>
      <c r="D32" s="4">
        <v>36625</v>
      </c>
      <c r="E32" s="4">
        <v>24379</v>
      </c>
      <c r="I32" t="s">
        <v>90</v>
      </c>
      <c r="J32" s="64" t="s">
        <v>91</v>
      </c>
    </row>
    <row r="33" spans="1:16" x14ac:dyDescent="0.3">
      <c r="A33" s="48">
        <v>2024</v>
      </c>
      <c r="B33" s="4">
        <v>207741</v>
      </c>
      <c r="C33" s="4">
        <v>3363</v>
      </c>
      <c r="D33" s="4">
        <v>37440</v>
      </c>
      <c r="E33" s="4">
        <v>21099</v>
      </c>
      <c r="I33" t="s">
        <v>68</v>
      </c>
      <c r="J33" s="64" t="s">
        <v>94</v>
      </c>
    </row>
    <row r="34" spans="1:16" x14ac:dyDescent="0.3">
      <c r="A34" s="48">
        <v>2025</v>
      </c>
      <c r="B34" s="4">
        <v>217656</v>
      </c>
      <c r="C34" s="4">
        <v>1589</v>
      </c>
      <c r="D34" s="4">
        <v>42003</v>
      </c>
      <c r="E34" s="4">
        <v>22367</v>
      </c>
      <c r="I34" t="s">
        <v>61</v>
      </c>
      <c r="J34" s="64" t="s">
        <v>92</v>
      </c>
    </row>
    <row r="35" spans="1:16" x14ac:dyDescent="0.3">
      <c r="A35" s="7" t="s">
        <v>57</v>
      </c>
      <c r="B35" s="49">
        <f>AVERAGE(B32:B34)</f>
        <v>213489.33333333334</v>
      </c>
      <c r="C35" s="63">
        <f>AVERAGE(C32:C34)</f>
        <v>2993.3333333333335</v>
      </c>
      <c r="D35" s="63">
        <f>AVERAGE(D32:D34)</f>
        <v>38689.333333333336</v>
      </c>
      <c r="E35" s="63">
        <f t="shared" ref="E35" si="2">AVERAGE(E32:E34)</f>
        <v>22615</v>
      </c>
      <c r="I35" t="s">
        <v>63</v>
      </c>
      <c r="J35" s="64" t="s">
        <v>93</v>
      </c>
    </row>
    <row r="36" spans="1:16" x14ac:dyDescent="0.3">
      <c r="A36" s="48">
        <v>2023</v>
      </c>
      <c r="B36" s="4">
        <v>32574</v>
      </c>
      <c r="C36" s="4">
        <v>2246</v>
      </c>
      <c r="D36" s="4">
        <v>10683</v>
      </c>
      <c r="E36" s="4">
        <v>12250</v>
      </c>
    </row>
    <row r="37" spans="1:16" x14ac:dyDescent="0.3">
      <c r="A37" s="48">
        <v>2024</v>
      </c>
      <c r="B37" s="4">
        <v>37339</v>
      </c>
      <c r="C37" s="4">
        <v>2290</v>
      </c>
      <c r="D37" s="4">
        <v>10717</v>
      </c>
      <c r="E37" s="4">
        <v>12746</v>
      </c>
    </row>
    <row r="38" spans="1:16" x14ac:dyDescent="0.3">
      <c r="A38" s="48">
        <v>2025</v>
      </c>
      <c r="B38" s="4">
        <v>39199</v>
      </c>
      <c r="C38" s="4">
        <v>2459</v>
      </c>
      <c r="D38" s="4">
        <v>11201</v>
      </c>
      <c r="E38" s="4">
        <v>12506</v>
      </c>
    </row>
    <row r="39" spans="1:16" x14ac:dyDescent="0.3">
      <c r="A39" s="7" t="s">
        <v>58</v>
      </c>
      <c r="B39" s="49">
        <f>AVERAGE(B36:B38)</f>
        <v>36370.666666666664</v>
      </c>
      <c r="C39" s="63">
        <f>AVERAGE(C36:C38)</f>
        <v>2331.6666666666665</v>
      </c>
      <c r="D39" s="63">
        <f>AVERAGE(D36:D38)</f>
        <v>10867</v>
      </c>
      <c r="E39" s="63">
        <f t="shared" ref="E39" si="3">AVERAGE(E36:E38)</f>
        <v>12500.666666666666</v>
      </c>
    </row>
    <row r="43" spans="1:16" ht="15" thickBot="1" x14ac:dyDescent="0.35"/>
    <row r="44" spans="1:16" ht="15.6" thickTop="1" thickBot="1" x14ac:dyDescent="0.35">
      <c r="A44" s="58"/>
      <c r="B44" s="297" t="s">
        <v>71</v>
      </c>
      <c r="C44" s="297"/>
      <c r="D44" s="59"/>
      <c r="E44" s="296" t="s">
        <v>70</v>
      </c>
      <c r="F44" s="296"/>
      <c r="G44" s="58"/>
      <c r="H44" s="296" t="s">
        <v>63</v>
      </c>
      <c r="I44" s="296"/>
      <c r="J44" s="58"/>
      <c r="K44" s="296" t="s">
        <v>61</v>
      </c>
      <c r="L44" s="296"/>
      <c r="M44" s="58"/>
      <c r="N44" s="296" t="s">
        <v>74</v>
      </c>
      <c r="O44" s="296"/>
      <c r="P44" s="58"/>
    </row>
    <row r="45" spans="1:16" x14ac:dyDescent="0.3">
      <c r="A45" s="40" t="s">
        <v>75</v>
      </c>
      <c r="B45" s="55"/>
      <c r="C45" s="61">
        <f>_xlfn.COVARIANCE.S($C$50:$C$330,C50:C330)/_xlfn.VAR.S($C$50:$C$330)</f>
        <v>1.0000000000000004</v>
      </c>
      <c r="D45" s="61"/>
      <c r="E45" s="61"/>
      <c r="F45" s="61">
        <f>_xlfn.COVARIANCE.S($C$50:$C$330,F50:F330)/_xlfn.VAR.S($C$50:$C$330)</f>
        <v>0.59182077097439856</v>
      </c>
      <c r="G45" s="61"/>
      <c r="H45" s="61"/>
      <c r="I45" s="61">
        <f>_xlfn.COVARIANCE.S($C$50:$C$330,I50:I330)/_xlfn.VAR.S($C$50:$C$330)</f>
        <v>0.60903945394198011</v>
      </c>
      <c r="J45" s="61"/>
      <c r="K45" s="61"/>
      <c r="L45" s="61">
        <f>_xlfn.COVARIANCE.S($C$50:$C$330,L50:L330)/_xlfn.VAR.S($C$50:$C$330)</f>
        <v>0.72814674227068354</v>
      </c>
      <c r="M45" s="61"/>
      <c r="N45" s="61"/>
      <c r="O45" s="61">
        <f>_xlfn.COVARIANCE.S($C$50:$C$330,O50:O330)/_xlfn.VAR.S($C$50:$C$330)</f>
        <v>0.7743938746439083</v>
      </c>
    </row>
    <row r="46" spans="1:16" x14ac:dyDescent="0.3">
      <c r="A46" s="57" t="s">
        <v>72</v>
      </c>
      <c r="B46" s="56"/>
    </row>
    <row r="49" spans="1:16" ht="15" thickBot="1" x14ac:dyDescent="0.35">
      <c r="A49" s="8" t="s">
        <v>51</v>
      </c>
      <c r="B49" s="8" t="s">
        <v>69</v>
      </c>
      <c r="C49" s="8" t="s">
        <v>73</v>
      </c>
      <c r="D49" s="8"/>
      <c r="E49" s="8" t="s">
        <v>69</v>
      </c>
      <c r="F49" s="8" t="s">
        <v>73</v>
      </c>
      <c r="G49" s="8"/>
      <c r="H49" s="8" t="s">
        <v>69</v>
      </c>
      <c r="I49" s="8" t="s">
        <v>73</v>
      </c>
      <c r="J49" s="8"/>
      <c r="K49" s="8" t="s">
        <v>69</v>
      </c>
      <c r="L49" s="8" t="s">
        <v>73</v>
      </c>
      <c r="M49" s="8"/>
      <c r="N49" s="8" t="s">
        <v>69</v>
      </c>
      <c r="O49" s="8" t="s">
        <v>73</v>
      </c>
      <c r="P49" s="8"/>
    </row>
    <row r="50" spans="1:16" x14ac:dyDescent="0.3">
      <c r="A50" s="1">
        <v>46194</v>
      </c>
      <c r="B50" s="68">
        <v>23689.200000000001</v>
      </c>
      <c r="C50" s="60">
        <f t="shared" ref="C50:C113" si="4">B50/B51-1</f>
        <v>8.0639327310561004E-3</v>
      </c>
      <c r="D50" s="60"/>
      <c r="E50" s="68">
        <v>269.76</v>
      </c>
      <c r="F50" s="60">
        <f t="shared" ref="F50:F113" si="5">E50/E51-1</f>
        <v>-3.1764832561645417E-2</v>
      </c>
      <c r="H50" s="68">
        <v>74.34</v>
      </c>
      <c r="I50" s="60">
        <f t="shared" ref="I50:I54" si="6">H50/H51-1</f>
        <v>1.2254901960784492E-2</v>
      </c>
      <c r="K50" s="69">
        <v>156.41</v>
      </c>
      <c r="L50" s="60">
        <f t="shared" ref="L50:L113" si="7">K50/K51-1</f>
        <v>2.908086058293291E-2</v>
      </c>
      <c r="N50" s="69">
        <v>7.8</v>
      </c>
      <c r="O50" s="60">
        <f t="shared" ref="O50:O113" si="8">N50/N51-1</f>
        <v>0.14705882352941169</v>
      </c>
    </row>
    <row r="51" spans="1:16" x14ac:dyDescent="0.3">
      <c r="A51" s="1">
        <v>46187</v>
      </c>
      <c r="B51" s="68">
        <v>23499.7</v>
      </c>
      <c r="C51" s="60">
        <f t="shared" si="4"/>
        <v>-4.0727587112959762E-3</v>
      </c>
      <c r="E51" s="68">
        <v>278.61</v>
      </c>
      <c r="F51" s="60">
        <f t="shared" si="5"/>
        <v>-2.1768898563954919E-2</v>
      </c>
      <c r="H51" s="69">
        <v>73.44</v>
      </c>
      <c r="I51" s="60">
        <f t="shared" si="6"/>
        <v>-1.8837675350701355E-2</v>
      </c>
      <c r="K51" s="69">
        <v>151.99</v>
      </c>
      <c r="L51" s="60">
        <f t="shared" si="7"/>
        <v>-1.5034670468537348E-2</v>
      </c>
      <c r="N51" s="69">
        <v>6.8</v>
      </c>
      <c r="O51" s="60">
        <f t="shared" si="8"/>
        <v>1.4727540500736325E-3</v>
      </c>
    </row>
    <row r="52" spans="1:16" x14ac:dyDescent="0.3">
      <c r="A52" s="1">
        <v>46180</v>
      </c>
      <c r="B52" s="68">
        <v>23595.8</v>
      </c>
      <c r="C52" s="60">
        <f t="shared" si="4"/>
        <v>1.4589469610646555E-2</v>
      </c>
      <c r="E52" s="68">
        <v>284.81</v>
      </c>
      <c r="F52" s="60">
        <f t="shared" si="5"/>
        <v>1.7760148656375208E-2</v>
      </c>
      <c r="H52" s="69">
        <v>74.849999999999994</v>
      </c>
      <c r="I52" s="60">
        <f t="shared" si="6"/>
        <v>3.014037985136242E-2</v>
      </c>
      <c r="K52" s="69">
        <v>154.31</v>
      </c>
      <c r="L52" s="60">
        <f t="shared" si="7"/>
        <v>2.2801087028567535E-2</v>
      </c>
      <c r="N52" s="69">
        <v>6.79</v>
      </c>
      <c r="O52" s="60">
        <f t="shared" si="8"/>
        <v>1.1922503725782407E-2</v>
      </c>
    </row>
    <row r="53" spans="1:16" x14ac:dyDescent="0.3">
      <c r="A53" s="1">
        <v>46173</v>
      </c>
      <c r="B53" s="68">
        <v>23256.5</v>
      </c>
      <c r="C53" s="60">
        <f t="shared" si="4"/>
        <v>-1.5327019345532378E-3</v>
      </c>
      <c r="E53" s="68">
        <v>279.83999999999997</v>
      </c>
      <c r="F53" s="60">
        <f t="shared" si="5"/>
        <v>2.2922636103150928E-3</v>
      </c>
      <c r="H53" s="69">
        <v>72.66</v>
      </c>
      <c r="I53" s="60">
        <f t="shared" si="6"/>
        <v>-2.7309236947791193E-2</v>
      </c>
      <c r="K53" s="69">
        <v>150.87</v>
      </c>
      <c r="L53" s="60">
        <f t="shared" si="7"/>
        <v>1.9736397431564745E-2</v>
      </c>
      <c r="N53" s="69">
        <v>6.71</v>
      </c>
      <c r="O53" s="60">
        <f t="shared" si="8"/>
        <v>-0.12857142857142856</v>
      </c>
    </row>
    <row r="54" spans="1:16" x14ac:dyDescent="0.3">
      <c r="A54" s="1">
        <v>46166</v>
      </c>
      <c r="B54" s="68">
        <v>23292.2</v>
      </c>
      <c r="C54" s="60">
        <f t="shared" si="4"/>
        <v>2.8588896830250565E-3</v>
      </c>
      <c r="E54" s="68">
        <v>279.2</v>
      </c>
      <c r="F54" s="60">
        <f t="shared" si="5"/>
        <v>-1.0876111524426912E-2</v>
      </c>
      <c r="H54" s="69">
        <v>74.7</v>
      </c>
      <c r="I54" s="60">
        <f t="shared" si="6"/>
        <v>-9.0209604669673205E-3</v>
      </c>
      <c r="K54" s="69">
        <v>147.94999999999999</v>
      </c>
      <c r="L54" s="60">
        <f t="shared" si="7"/>
        <v>-4.6406703190460918E-2</v>
      </c>
      <c r="N54" s="69">
        <v>7.7</v>
      </c>
      <c r="O54" s="60">
        <f t="shared" si="8"/>
        <v>-1.4084507042253502E-2</v>
      </c>
    </row>
    <row r="55" spans="1:16" x14ac:dyDescent="0.3">
      <c r="A55" s="1">
        <v>46159</v>
      </c>
      <c r="B55" s="68">
        <v>23225.8</v>
      </c>
      <c r="C55" s="60">
        <f t="shared" si="4"/>
        <v>1.870224655034769E-2</v>
      </c>
      <c r="E55" s="68">
        <v>282.27</v>
      </c>
      <c r="F55" s="60">
        <f t="shared" si="5"/>
        <v>2.1274286334527215E-2</v>
      </c>
      <c r="H55" s="69">
        <v>75.38</v>
      </c>
      <c r="I55" s="60">
        <f t="shared" ref="I55:I118" si="9">H55/H56-1</f>
        <v>-6.0654008438819629E-3</v>
      </c>
      <c r="K55" s="69">
        <v>155.15</v>
      </c>
      <c r="L55" s="60">
        <f t="shared" si="7"/>
        <v>3.4540241381609604E-2</v>
      </c>
      <c r="N55" s="69">
        <v>7.81</v>
      </c>
      <c r="O55" s="60">
        <f t="shared" si="8"/>
        <v>-2.6184538653366562E-2</v>
      </c>
    </row>
    <row r="56" spans="1:16" x14ac:dyDescent="0.3">
      <c r="A56" s="1">
        <v>46152</v>
      </c>
      <c r="B56" s="68">
        <v>22799.4</v>
      </c>
      <c r="C56" s="60">
        <f t="shared" si="4"/>
        <v>-6.2243376833955866E-3</v>
      </c>
      <c r="E56" s="68">
        <v>276.39</v>
      </c>
      <c r="F56" s="60">
        <f t="shared" si="5"/>
        <v>2.3209428830461842E-3</v>
      </c>
      <c r="H56" s="69">
        <v>75.84</v>
      </c>
      <c r="I56" s="60">
        <f t="shared" si="9"/>
        <v>-4.8550997365449655E-2</v>
      </c>
      <c r="K56" s="69">
        <v>149.97</v>
      </c>
      <c r="L56" s="60">
        <f t="shared" si="7"/>
        <v>-1.3030602171766992E-2</v>
      </c>
      <c r="N56" s="69">
        <v>8.02</v>
      </c>
      <c r="O56" s="60">
        <f t="shared" si="8"/>
        <v>9.8630136986301409E-2</v>
      </c>
    </row>
    <row r="57" spans="1:16" x14ac:dyDescent="0.3">
      <c r="A57" s="1">
        <v>46145</v>
      </c>
      <c r="B57" s="68">
        <v>22942.2</v>
      </c>
      <c r="C57" s="60">
        <f t="shared" si="4"/>
        <v>-4.2966512160824699E-3</v>
      </c>
      <c r="E57" s="68">
        <v>275.75</v>
      </c>
      <c r="F57" s="60">
        <f t="shared" si="5"/>
        <v>-3.7991906223834748E-2</v>
      </c>
      <c r="H57" s="69">
        <v>79.709999999999994</v>
      </c>
      <c r="I57" s="60">
        <f t="shared" si="9"/>
        <v>-3.9985005622892311E-3</v>
      </c>
      <c r="K57" s="69">
        <v>151.94999999999999</v>
      </c>
      <c r="L57" s="60">
        <f t="shared" si="7"/>
        <v>-4.0477393281131757E-2</v>
      </c>
      <c r="N57" s="69">
        <v>7.3</v>
      </c>
      <c r="O57" s="60">
        <f t="shared" si="8"/>
        <v>8.9552238805970186E-2</v>
      </c>
    </row>
    <row r="58" spans="1:16" x14ac:dyDescent="0.3">
      <c r="A58" s="1">
        <v>46138</v>
      </c>
      <c r="B58" s="68">
        <v>23041.200000000001</v>
      </c>
      <c r="C58" s="60">
        <f t="shared" si="4"/>
        <v>4.6479990930734516E-3</v>
      </c>
      <c r="E58" s="68">
        <v>286.64</v>
      </c>
      <c r="F58" s="60">
        <f t="shared" si="5"/>
        <v>-4.2490646712987745E-2</v>
      </c>
      <c r="H58" s="69">
        <v>80.03</v>
      </c>
      <c r="I58" s="60">
        <f t="shared" si="9"/>
        <v>-1.0754017305315222E-2</v>
      </c>
      <c r="K58" s="69">
        <v>158.36000000000001</v>
      </c>
      <c r="L58" s="60">
        <f t="shared" si="7"/>
        <v>-1.1979036685799804E-2</v>
      </c>
      <c r="N58" s="69">
        <v>6.7</v>
      </c>
      <c r="O58" s="60">
        <f t="shared" si="8"/>
        <v>-6.162464985994387E-2</v>
      </c>
    </row>
    <row r="59" spans="1:16" x14ac:dyDescent="0.3">
      <c r="A59" s="1">
        <v>46131</v>
      </c>
      <c r="B59" s="68">
        <v>22934.6</v>
      </c>
      <c r="C59" s="60">
        <f t="shared" si="4"/>
        <v>-1.1341641628265009E-2</v>
      </c>
      <c r="E59" s="68">
        <v>299.36</v>
      </c>
      <c r="F59" s="60">
        <f t="shared" si="5"/>
        <v>-3.8540596094552959E-2</v>
      </c>
      <c r="H59" s="69">
        <v>80.900000000000006</v>
      </c>
      <c r="I59" s="60">
        <f t="shared" si="9"/>
        <v>3.2941777323799881E-2</v>
      </c>
      <c r="K59" s="69">
        <v>160.28</v>
      </c>
      <c r="L59" s="60">
        <f t="shared" si="7"/>
        <v>-1.5418637508446409E-2</v>
      </c>
      <c r="N59" s="69">
        <v>7.14</v>
      </c>
      <c r="O59" s="60">
        <f t="shared" si="8"/>
        <v>2.7338129496402797E-2</v>
      </c>
    </row>
    <row r="60" spans="1:16" x14ac:dyDescent="0.3">
      <c r="A60" s="1">
        <v>46124</v>
      </c>
      <c r="B60" s="68">
        <v>23197.7</v>
      </c>
      <c r="C60" s="60">
        <f t="shared" si="4"/>
        <v>2.0374320965932835E-2</v>
      </c>
      <c r="E60" s="68">
        <v>311.36</v>
      </c>
      <c r="F60" s="60">
        <f t="shared" si="5"/>
        <v>1.8581523161476099E-2</v>
      </c>
      <c r="H60" s="69">
        <v>78.319999999999993</v>
      </c>
      <c r="I60" s="60">
        <f t="shared" si="9"/>
        <v>2.5265087053279123E-2</v>
      </c>
      <c r="K60" s="69">
        <v>162.79</v>
      </c>
      <c r="L60" s="60">
        <f t="shared" si="7"/>
        <v>6.3674579624135585E-3</v>
      </c>
      <c r="N60" s="69">
        <v>6.95</v>
      </c>
      <c r="O60" s="60">
        <f t="shared" si="8"/>
        <v>8.7082728592162706E-3</v>
      </c>
    </row>
    <row r="61" spans="1:16" x14ac:dyDescent="0.3">
      <c r="A61" s="1">
        <v>46117</v>
      </c>
      <c r="B61" s="68">
        <v>22734.5</v>
      </c>
      <c r="C61" s="60">
        <f t="shared" si="4"/>
        <v>2.4358044327495332E-2</v>
      </c>
      <c r="E61" s="68">
        <v>305.68</v>
      </c>
      <c r="F61" s="60">
        <f t="shared" si="5"/>
        <v>-4.7535325910007531E-3</v>
      </c>
      <c r="H61" s="69">
        <v>76.39</v>
      </c>
      <c r="I61" s="60">
        <f t="shared" si="9"/>
        <v>-2.4810655523634928E-3</v>
      </c>
      <c r="K61" s="69">
        <v>161.76</v>
      </c>
      <c r="L61" s="60">
        <f t="shared" si="7"/>
        <v>3.6325197001729759E-2</v>
      </c>
      <c r="N61" s="69">
        <v>6.89</v>
      </c>
      <c r="O61" s="60">
        <f t="shared" si="8"/>
        <v>1.4534883720929148E-3</v>
      </c>
    </row>
    <row r="62" spans="1:16" x14ac:dyDescent="0.3">
      <c r="A62" s="1">
        <v>46110</v>
      </c>
      <c r="B62" s="68">
        <v>22193.9</v>
      </c>
      <c r="C62" s="60">
        <f t="shared" si="4"/>
        <v>2.5951693054432123E-2</v>
      </c>
      <c r="E62" s="68">
        <v>307.14</v>
      </c>
      <c r="F62" s="60">
        <f t="shared" si="5"/>
        <v>4.0536122915986184E-3</v>
      </c>
      <c r="H62" s="69">
        <v>76.58</v>
      </c>
      <c r="I62" s="60">
        <f t="shared" si="9"/>
        <v>7.2248669840380808E-2</v>
      </c>
      <c r="K62" s="69">
        <v>156.09</v>
      </c>
      <c r="L62" s="60">
        <f t="shared" si="7"/>
        <v>1.3834762275915846E-2</v>
      </c>
      <c r="N62" s="69">
        <v>6.88</v>
      </c>
      <c r="O62" s="60">
        <f t="shared" si="8"/>
        <v>1.1764705882352899E-2</v>
      </c>
    </row>
    <row r="63" spans="1:16" x14ac:dyDescent="0.3">
      <c r="A63" s="1">
        <v>46103</v>
      </c>
      <c r="B63" s="68">
        <v>21632.5</v>
      </c>
      <c r="C63" s="60">
        <f t="shared" si="4"/>
        <v>7.3091637483968519E-4</v>
      </c>
      <c r="E63" s="68">
        <v>305.89999999999998</v>
      </c>
      <c r="F63" s="60">
        <f t="shared" si="5"/>
        <v>-9.5515622470456751E-3</v>
      </c>
      <c r="H63" s="69">
        <v>71.42</v>
      </c>
      <c r="I63" s="60">
        <f t="shared" si="9"/>
        <v>-3.1593220338983041E-2</v>
      </c>
      <c r="K63" s="69">
        <v>153.96</v>
      </c>
      <c r="L63" s="60">
        <f t="shared" si="7"/>
        <v>-1.5663960104852603E-2</v>
      </c>
      <c r="N63" s="69">
        <v>6.8</v>
      </c>
      <c r="O63" s="60">
        <f t="shared" si="8"/>
        <v>-4.0902679830747579E-2</v>
      </c>
    </row>
    <row r="64" spans="1:16" x14ac:dyDescent="0.3">
      <c r="A64" s="1">
        <v>46096</v>
      </c>
      <c r="B64" s="68">
        <v>21616.7</v>
      </c>
      <c r="C64" s="60">
        <f t="shared" si="4"/>
        <v>-1.9690806270945882E-2</v>
      </c>
      <c r="E64" s="68">
        <v>308.85000000000002</v>
      </c>
      <c r="F64" s="60">
        <f t="shared" si="5"/>
        <v>-5.3942290020216777E-2</v>
      </c>
      <c r="H64" s="69">
        <v>73.75</v>
      </c>
      <c r="I64" s="60">
        <f t="shared" si="9"/>
        <v>1.5141087405368125E-2</v>
      </c>
      <c r="K64" s="69">
        <v>156.41</v>
      </c>
      <c r="L64" s="60">
        <f t="shared" si="7"/>
        <v>-2.4875311720698345E-2</v>
      </c>
      <c r="N64" s="69">
        <v>7.09</v>
      </c>
      <c r="O64" s="60">
        <f t="shared" si="8"/>
        <v>-1.1157601115760141E-2</v>
      </c>
    </row>
    <row r="65" spans="1:15" x14ac:dyDescent="0.3">
      <c r="A65" s="1">
        <v>46089</v>
      </c>
      <c r="B65" s="68">
        <v>22050.9</v>
      </c>
      <c r="C65" s="60">
        <f t="shared" si="4"/>
        <v>-2.0747754028980991E-2</v>
      </c>
      <c r="E65" s="68">
        <v>326.45999999999998</v>
      </c>
      <c r="F65" s="60">
        <f t="shared" si="5"/>
        <v>-4.8771566176919467E-3</v>
      </c>
      <c r="H65" s="69">
        <v>72.650000000000006</v>
      </c>
      <c r="I65" s="60">
        <f t="shared" si="9"/>
        <v>-1.7977831846444969E-2</v>
      </c>
      <c r="K65" s="69">
        <v>160.4</v>
      </c>
      <c r="L65" s="60">
        <f t="shared" si="7"/>
        <v>2.4999999999999467E-3</v>
      </c>
      <c r="N65" s="69">
        <v>7.17</v>
      </c>
      <c r="O65" s="60">
        <f t="shared" si="8"/>
        <v>-3.3692722371967632E-2</v>
      </c>
    </row>
    <row r="66" spans="1:15" x14ac:dyDescent="0.3">
      <c r="A66" s="1">
        <v>46082</v>
      </c>
      <c r="B66" s="68">
        <v>22518.1</v>
      </c>
      <c r="C66" s="60">
        <f t="shared" si="4"/>
        <v>-4.1554583219831187E-2</v>
      </c>
      <c r="E66" s="68">
        <v>328.06</v>
      </c>
      <c r="F66" s="60">
        <f t="shared" si="5"/>
        <v>-3.8116460446842249E-2</v>
      </c>
      <c r="H66" s="69">
        <v>73.98</v>
      </c>
      <c r="I66" s="60">
        <f t="shared" si="9"/>
        <v>3.1655278203876813E-2</v>
      </c>
      <c r="K66" s="69">
        <v>160</v>
      </c>
      <c r="L66" s="60">
        <f t="shared" si="7"/>
        <v>-4.8525214081826862E-2</v>
      </c>
      <c r="N66" s="69">
        <v>7.42</v>
      </c>
      <c r="O66" s="60">
        <f t="shared" si="8"/>
        <v>-3.1331592689295085E-2</v>
      </c>
    </row>
    <row r="67" spans="1:15" x14ac:dyDescent="0.3">
      <c r="A67" s="1">
        <v>46075</v>
      </c>
      <c r="B67" s="68">
        <v>23494.400000000001</v>
      </c>
      <c r="C67" s="60">
        <f t="shared" si="4"/>
        <v>1.7823183783463037E-3</v>
      </c>
      <c r="E67" s="68">
        <v>341.06</v>
      </c>
      <c r="F67" s="60">
        <f t="shared" si="5"/>
        <v>3.5932326944689175E-2</v>
      </c>
      <c r="H67" s="69">
        <v>71.709999999999994</v>
      </c>
      <c r="I67" s="60">
        <f t="shared" si="9"/>
        <v>4.1993606509735493E-2</v>
      </c>
      <c r="K67" s="69">
        <v>168.16</v>
      </c>
      <c r="L67" s="60">
        <f t="shared" si="7"/>
        <v>2.9572032082287203E-2</v>
      </c>
      <c r="N67" s="69">
        <v>7.66</v>
      </c>
      <c r="O67" s="60">
        <f t="shared" si="8"/>
        <v>-5.3152039555006136E-2</v>
      </c>
    </row>
    <row r="68" spans="1:15" x14ac:dyDescent="0.3">
      <c r="A68" s="1">
        <v>46068</v>
      </c>
      <c r="B68" s="68">
        <v>23452.6</v>
      </c>
      <c r="C68" s="60">
        <f t="shared" si="4"/>
        <v>5.423109735446463E-3</v>
      </c>
      <c r="E68" s="68">
        <v>329.23</v>
      </c>
      <c r="F68" s="60">
        <f t="shared" si="5"/>
        <v>5.0369375419745399E-3</v>
      </c>
      <c r="H68" s="69">
        <v>68.819999999999993</v>
      </c>
      <c r="I68" s="60">
        <f t="shared" si="9"/>
        <v>4.0520108859993798E-2</v>
      </c>
      <c r="K68" s="69">
        <v>163.33000000000001</v>
      </c>
      <c r="L68" s="60">
        <f t="shared" si="7"/>
        <v>1.7188765024600094E-2</v>
      </c>
      <c r="N68" s="69">
        <v>8.09</v>
      </c>
      <c r="O68" s="60">
        <f t="shared" si="8"/>
        <v>8.1550802139037426E-2</v>
      </c>
    </row>
    <row r="69" spans="1:15" x14ac:dyDescent="0.3">
      <c r="A69" s="1">
        <v>46061</v>
      </c>
      <c r="B69" s="68">
        <v>23326.1</v>
      </c>
      <c r="C69" s="60">
        <f t="shared" si="4"/>
        <v>3.1523085391866879E-3</v>
      </c>
      <c r="E69" s="68">
        <v>327.58</v>
      </c>
      <c r="F69" s="60">
        <f t="shared" si="5"/>
        <v>1.2837755226799974E-3</v>
      </c>
      <c r="H69" s="69">
        <v>66.14</v>
      </c>
      <c r="I69" s="60">
        <f t="shared" si="9"/>
        <v>-6.7136812411847768E-2</v>
      </c>
      <c r="K69" s="69">
        <v>160.57</v>
      </c>
      <c r="L69" s="60">
        <f t="shared" si="7"/>
        <v>-1.4484748051310503E-2</v>
      </c>
      <c r="N69" s="69">
        <v>7.48</v>
      </c>
      <c r="O69" s="60">
        <f t="shared" si="8"/>
        <v>-6.7331670822942558E-2</v>
      </c>
    </row>
    <row r="70" spans="1:15" x14ac:dyDescent="0.3">
      <c r="A70" s="1">
        <v>46054</v>
      </c>
      <c r="B70" s="68">
        <v>23252.799999999999</v>
      </c>
      <c r="C70" s="60">
        <f t="shared" si="4"/>
        <v>2.348223756893919E-2</v>
      </c>
      <c r="E70" s="68">
        <v>327.16000000000003</v>
      </c>
      <c r="F70" s="60">
        <f t="shared" si="5"/>
        <v>3.860317460317475E-2</v>
      </c>
      <c r="H70" s="69">
        <v>70.900000000000006</v>
      </c>
      <c r="I70" s="60">
        <f t="shared" si="9"/>
        <v>5.8366920435886094E-2</v>
      </c>
      <c r="K70" s="69">
        <v>162.93</v>
      </c>
      <c r="L70" s="60">
        <f t="shared" si="7"/>
        <v>4.7781350482315244E-2</v>
      </c>
      <c r="N70" s="69">
        <v>8.02</v>
      </c>
      <c r="O70" s="60">
        <f t="shared" si="8"/>
        <v>2.9525032092426073E-2</v>
      </c>
    </row>
    <row r="71" spans="1:15" x14ac:dyDescent="0.3">
      <c r="A71" s="1">
        <v>46047</v>
      </c>
      <c r="B71" s="68">
        <v>22719.3</v>
      </c>
      <c r="C71" s="60">
        <f t="shared" si="4"/>
        <v>-1.6654069920728487E-3</v>
      </c>
      <c r="E71" s="68">
        <v>315</v>
      </c>
      <c r="F71" s="60">
        <f t="shared" si="5"/>
        <v>1.8593371059013819E-2</v>
      </c>
      <c r="H71" s="69">
        <v>66.989999999999995</v>
      </c>
      <c r="I71" s="60">
        <f t="shared" si="9"/>
        <v>-2.0614035087719418E-2</v>
      </c>
      <c r="K71" s="69">
        <v>155.5</v>
      </c>
      <c r="L71" s="60">
        <f t="shared" si="7"/>
        <v>1.6539190690985084E-2</v>
      </c>
      <c r="N71" s="69">
        <v>7.79</v>
      </c>
      <c r="O71" s="60">
        <f t="shared" si="8"/>
        <v>-7.4821852731591476E-2</v>
      </c>
    </row>
    <row r="72" spans="1:15" x14ac:dyDescent="0.3">
      <c r="A72" s="1">
        <v>46040</v>
      </c>
      <c r="B72" s="68">
        <v>22757.200000000001</v>
      </c>
      <c r="C72" s="60">
        <f t="shared" si="4"/>
        <v>-2.1879151667681951E-3</v>
      </c>
      <c r="E72" s="68">
        <v>309.25</v>
      </c>
      <c r="F72" s="60">
        <f t="shared" si="5"/>
        <v>5.9200468399309703E-3</v>
      </c>
      <c r="H72" s="69">
        <v>68.400000000000006</v>
      </c>
      <c r="I72" s="60">
        <f t="shared" si="9"/>
        <v>1.0244402165959787E-3</v>
      </c>
      <c r="K72" s="69">
        <v>152.97</v>
      </c>
      <c r="L72" s="60">
        <f t="shared" si="7"/>
        <v>-4.548858105578435E-2</v>
      </c>
      <c r="N72" s="69">
        <v>8.42</v>
      </c>
      <c r="O72" s="60">
        <f t="shared" si="8"/>
        <v>1.2019230769230616E-2</v>
      </c>
    </row>
    <row r="73" spans="1:15" x14ac:dyDescent="0.3">
      <c r="A73" s="1">
        <v>46033</v>
      </c>
      <c r="B73" s="68">
        <v>22807.1</v>
      </c>
      <c r="C73" s="60">
        <f t="shared" si="4"/>
        <v>9.5344750505714781E-3</v>
      </c>
      <c r="E73" s="68">
        <v>307.43</v>
      </c>
      <c r="F73" s="60">
        <f t="shared" si="5"/>
        <v>3.579330990499674E-4</v>
      </c>
      <c r="H73" s="69">
        <v>68.33</v>
      </c>
      <c r="I73" s="60">
        <f t="shared" si="9"/>
        <v>-9.7101449275363017E-3</v>
      </c>
      <c r="K73" s="69">
        <v>160.26</v>
      </c>
      <c r="L73" s="60">
        <f t="shared" si="7"/>
        <v>3.0478395061728225E-2</v>
      </c>
      <c r="N73" s="69">
        <v>8.32</v>
      </c>
      <c r="O73" s="60">
        <f t="shared" si="8"/>
        <v>-3.8150289017341077E-2</v>
      </c>
    </row>
    <row r="74" spans="1:15" x14ac:dyDescent="0.3">
      <c r="A74" s="1">
        <v>46026</v>
      </c>
      <c r="B74" s="68">
        <v>22591.7</v>
      </c>
      <c r="C74" s="60">
        <f t="shared" si="4"/>
        <v>1.609711340391673E-2</v>
      </c>
      <c r="E74" s="68">
        <v>307.32</v>
      </c>
      <c r="F74" s="60">
        <f t="shared" si="5"/>
        <v>1.3387852008177825E-2</v>
      </c>
      <c r="H74" s="69">
        <v>69</v>
      </c>
      <c r="I74" s="60">
        <f t="shared" si="9"/>
        <v>1.7549034065772018E-2</v>
      </c>
      <c r="K74" s="69">
        <v>155.52000000000001</v>
      </c>
      <c r="L74" s="60">
        <f t="shared" si="7"/>
        <v>3.34241477839059E-2</v>
      </c>
      <c r="N74" s="69">
        <v>8.65</v>
      </c>
      <c r="O74" s="60">
        <f t="shared" si="8"/>
        <v>5.875152998776012E-2</v>
      </c>
    </row>
    <row r="75" spans="1:15" x14ac:dyDescent="0.3">
      <c r="A75" s="1">
        <v>46019</v>
      </c>
      <c r="B75" s="68">
        <v>22233.8</v>
      </c>
      <c r="C75" s="60">
        <f t="shared" si="4"/>
        <v>-5.7536882040398751E-4</v>
      </c>
      <c r="E75" s="68">
        <v>303.26</v>
      </c>
      <c r="F75" s="60">
        <f t="shared" si="5"/>
        <v>-2.3883095146131073E-2</v>
      </c>
      <c r="H75" s="69">
        <v>67.81</v>
      </c>
      <c r="I75" s="60">
        <f t="shared" si="9"/>
        <v>-2.9622209502003338E-2</v>
      </c>
      <c r="K75" s="69">
        <v>150.49</v>
      </c>
      <c r="L75" s="60">
        <f t="shared" si="7"/>
        <v>-1.7945706081962887E-2</v>
      </c>
      <c r="N75" s="69">
        <v>8.17</v>
      </c>
      <c r="O75" s="60">
        <f t="shared" si="8"/>
        <v>-2.1556886227544925E-2</v>
      </c>
    </row>
    <row r="76" spans="1:15" x14ac:dyDescent="0.3">
      <c r="A76" s="1">
        <v>46012</v>
      </c>
      <c r="B76" s="68">
        <v>22246.6</v>
      </c>
      <c r="C76" s="60">
        <f t="shared" si="4"/>
        <v>1.471909651111325E-2</v>
      </c>
      <c r="E76" s="68">
        <v>310.68</v>
      </c>
      <c r="F76" s="60">
        <f t="shared" si="5"/>
        <v>-1.6337386018236977E-2</v>
      </c>
      <c r="H76" s="69">
        <v>69.88</v>
      </c>
      <c r="I76" s="60">
        <f t="shared" si="9"/>
        <v>-2.4268379728765721E-3</v>
      </c>
      <c r="K76" s="69">
        <v>153.24</v>
      </c>
      <c r="L76" s="60">
        <f t="shared" si="7"/>
        <v>-3.3170731707315992E-3</v>
      </c>
      <c r="N76" s="69">
        <v>8.35</v>
      </c>
      <c r="O76" s="60">
        <f t="shared" si="8"/>
        <v>-3.5799522673032325E-3</v>
      </c>
    </row>
    <row r="77" spans="1:15" x14ac:dyDescent="0.3">
      <c r="A77" s="1">
        <v>46005</v>
      </c>
      <c r="B77" s="68">
        <v>21923.9</v>
      </c>
      <c r="C77" s="60">
        <f t="shared" si="4"/>
        <v>-3.6538312966101216E-3</v>
      </c>
      <c r="E77" s="68">
        <v>315.83999999999997</v>
      </c>
      <c r="F77" s="60">
        <f t="shared" si="5"/>
        <v>-2.778479413993562E-3</v>
      </c>
      <c r="H77" s="69">
        <v>70.05</v>
      </c>
      <c r="I77" s="60">
        <f t="shared" si="9"/>
        <v>-1.1570481162692325E-2</v>
      </c>
      <c r="K77" s="69">
        <v>153.75</v>
      </c>
      <c r="L77" s="60">
        <f t="shared" si="7"/>
        <v>1.7807493711108124E-2</v>
      </c>
      <c r="N77" s="69">
        <v>8.3800000000000008</v>
      </c>
      <c r="O77" s="60">
        <f t="shared" si="8"/>
        <v>-2.6713124274099775E-2</v>
      </c>
    </row>
    <row r="78" spans="1:15" x14ac:dyDescent="0.3">
      <c r="A78" s="1">
        <v>45998</v>
      </c>
      <c r="B78" s="68">
        <v>22004.3</v>
      </c>
      <c r="C78" s="60">
        <f t="shared" si="4"/>
        <v>8.9041315720699288E-3</v>
      </c>
      <c r="E78" s="68">
        <v>316.72000000000003</v>
      </c>
      <c r="F78" s="60">
        <f t="shared" si="5"/>
        <v>1.7639687690775396E-2</v>
      </c>
      <c r="H78" s="69">
        <v>70.87</v>
      </c>
      <c r="I78" s="60">
        <f t="shared" si="9"/>
        <v>-3.6306771824857198E-2</v>
      </c>
      <c r="K78" s="69">
        <v>151.06</v>
      </c>
      <c r="L78" s="60">
        <f t="shared" si="7"/>
        <v>4.2080573951434941E-2</v>
      </c>
      <c r="N78" s="69">
        <v>8.61</v>
      </c>
      <c r="O78" s="60">
        <f t="shared" si="8"/>
        <v>2.0142180094786744E-2</v>
      </c>
    </row>
    <row r="79" spans="1:15" x14ac:dyDescent="0.3">
      <c r="A79" s="1">
        <v>45991</v>
      </c>
      <c r="B79" s="68">
        <v>21810.1</v>
      </c>
      <c r="C79" s="60">
        <f t="shared" si="4"/>
        <v>-6.6896681283146187E-4</v>
      </c>
      <c r="E79" s="68">
        <v>311.23</v>
      </c>
      <c r="F79" s="60">
        <f t="shared" si="5"/>
        <v>-1.8921172471296765E-3</v>
      </c>
      <c r="H79" s="69">
        <v>73.540000000000006</v>
      </c>
      <c r="I79" s="60">
        <f t="shared" si="9"/>
        <v>1.588617212322152E-2</v>
      </c>
      <c r="K79" s="69">
        <v>144.96</v>
      </c>
      <c r="L79" s="60">
        <f t="shared" si="7"/>
        <v>-5.3847660074407666E-2</v>
      </c>
      <c r="N79" s="69">
        <v>8.44</v>
      </c>
      <c r="O79" s="60">
        <f t="shared" si="8"/>
        <v>-1.1834319526626835E-3</v>
      </c>
    </row>
    <row r="80" spans="1:15" x14ac:dyDescent="0.3">
      <c r="A80" s="1">
        <v>45984</v>
      </c>
      <c r="B80" s="68">
        <v>21824.7</v>
      </c>
      <c r="C80" s="60">
        <f t="shared" si="4"/>
        <v>3.0585068706615592E-2</v>
      </c>
      <c r="E80" s="68">
        <v>311.82</v>
      </c>
      <c r="F80" s="60">
        <f t="shared" si="5"/>
        <v>7.9844835946338844E-3</v>
      </c>
      <c r="H80" s="69">
        <v>72.39</v>
      </c>
      <c r="I80" s="60">
        <f t="shared" si="9"/>
        <v>2.6662884697205902E-2</v>
      </c>
      <c r="K80" s="69">
        <v>153.21</v>
      </c>
      <c r="L80" s="60">
        <f t="shared" si="7"/>
        <v>1.5034645051641427E-3</v>
      </c>
      <c r="N80" s="69">
        <v>8.4499999999999993</v>
      </c>
      <c r="O80" s="60">
        <f t="shared" si="8"/>
        <v>1.93003618817853E-2</v>
      </c>
    </row>
    <row r="81" spans="1:15" x14ac:dyDescent="0.3">
      <c r="A81" s="1">
        <v>45977</v>
      </c>
      <c r="B81" s="68">
        <v>21177</v>
      </c>
      <c r="C81" s="60">
        <f t="shared" si="4"/>
        <v>-1.3660731335845333E-2</v>
      </c>
      <c r="E81" s="68">
        <v>309.35000000000002</v>
      </c>
      <c r="F81" s="60">
        <f t="shared" si="5"/>
        <v>7.5562648601115168E-3</v>
      </c>
      <c r="H81" s="69">
        <v>70.510000000000005</v>
      </c>
      <c r="I81" s="60">
        <f t="shared" si="9"/>
        <v>2.6645311589982512E-2</v>
      </c>
      <c r="K81" s="69">
        <v>152.97999999999999</v>
      </c>
      <c r="L81" s="60">
        <f t="shared" si="7"/>
        <v>2.6573614279962188E-2</v>
      </c>
      <c r="N81" s="69">
        <v>8.2899999999999991</v>
      </c>
      <c r="O81" s="60">
        <f t="shared" si="8"/>
        <v>-3.8283062645011579E-2</v>
      </c>
    </row>
    <row r="82" spans="1:15" x14ac:dyDescent="0.3">
      <c r="A82" s="1">
        <v>45970</v>
      </c>
      <c r="B82" s="68">
        <v>21470.3</v>
      </c>
      <c r="C82" s="60">
        <f t="shared" si="4"/>
        <v>2.8820193753913426E-3</v>
      </c>
      <c r="E82" s="68">
        <v>307.02999999999997</v>
      </c>
      <c r="F82" s="60">
        <f t="shared" si="5"/>
        <v>2.4594540479209615E-2</v>
      </c>
      <c r="H82" s="69">
        <v>68.680000000000007</v>
      </c>
      <c r="I82" s="60">
        <f t="shared" si="9"/>
        <v>1.3876586950103409E-2</v>
      </c>
      <c r="K82" s="69">
        <v>149.02000000000001</v>
      </c>
      <c r="L82" s="60">
        <f t="shared" si="7"/>
        <v>-6.7060085836900818E-4</v>
      </c>
      <c r="N82" s="69">
        <v>8.6199999999999992</v>
      </c>
      <c r="O82" s="60">
        <f t="shared" si="8"/>
        <v>-3.9018952062430445E-2</v>
      </c>
    </row>
    <row r="83" spans="1:15" x14ac:dyDescent="0.3">
      <c r="A83" s="1">
        <v>45963</v>
      </c>
      <c r="B83" s="68">
        <v>21408.6</v>
      </c>
      <c r="C83" s="60">
        <f t="shared" si="4"/>
        <v>-2.3765587429401824E-3</v>
      </c>
      <c r="E83" s="68">
        <v>299.66000000000003</v>
      </c>
      <c r="F83" s="60">
        <f t="shared" si="5"/>
        <v>4.1215695472975877E-3</v>
      </c>
      <c r="H83" s="69">
        <v>67.739999999999995</v>
      </c>
      <c r="I83" s="60">
        <f t="shared" si="9"/>
        <v>3.1207185264119364E-2</v>
      </c>
      <c r="K83" s="69">
        <v>149.12</v>
      </c>
      <c r="L83" s="60">
        <f t="shared" si="7"/>
        <v>7.8937848202011329E-2</v>
      </c>
      <c r="N83" s="69">
        <v>8.9700000000000006</v>
      </c>
      <c r="O83" s="60">
        <f t="shared" si="8"/>
        <v>5.0351288056206256E-2</v>
      </c>
    </row>
    <row r="84" spans="1:15" x14ac:dyDescent="0.3">
      <c r="A84" s="1">
        <v>45956</v>
      </c>
      <c r="B84" s="68">
        <v>21459.599999999999</v>
      </c>
      <c r="C84" s="60">
        <f t="shared" si="4"/>
        <v>-1.099174582106266E-2</v>
      </c>
      <c r="E84" s="68">
        <v>298.43</v>
      </c>
      <c r="F84" s="60">
        <f t="shared" si="5"/>
        <v>-2.4068805389319547E-2</v>
      </c>
      <c r="H84" s="69">
        <v>65.69</v>
      </c>
      <c r="I84" s="60">
        <f t="shared" si="9"/>
        <v>-2.5660041530703115E-2</v>
      </c>
      <c r="K84" s="69">
        <v>138.21</v>
      </c>
      <c r="L84" s="60">
        <f t="shared" si="7"/>
        <v>-3.5923549107142905E-2</v>
      </c>
      <c r="N84" s="69">
        <v>8.5399999999999991</v>
      </c>
      <c r="O84" s="60">
        <f t="shared" si="8"/>
        <v>-4.8997772828507924E-2</v>
      </c>
    </row>
    <row r="85" spans="1:15" x14ac:dyDescent="0.3">
      <c r="A85" s="1">
        <v>45949</v>
      </c>
      <c r="B85" s="68">
        <v>21698.1</v>
      </c>
      <c r="C85" s="60">
        <f t="shared" si="4"/>
        <v>1.339006323734071E-2</v>
      </c>
      <c r="E85" s="68">
        <v>305.79000000000002</v>
      </c>
      <c r="F85" s="60">
        <f t="shared" si="5"/>
        <v>-7.4653510337886475E-3</v>
      </c>
      <c r="H85" s="69">
        <v>67.42</v>
      </c>
      <c r="I85" s="60">
        <f t="shared" si="9"/>
        <v>5.936479667558725E-4</v>
      </c>
      <c r="K85" s="69">
        <v>143.36000000000001</v>
      </c>
      <c r="L85" s="60">
        <f t="shared" si="7"/>
        <v>-1.301204819277102E-2</v>
      </c>
      <c r="N85" s="69">
        <v>8.98</v>
      </c>
      <c r="O85" s="60">
        <f t="shared" si="8"/>
        <v>1.1261261261261257E-2</v>
      </c>
    </row>
    <row r="86" spans="1:15" x14ac:dyDescent="0.3">
      <c r="A86" s="1">
        <v>45942</v>
      </c>
      <c r="B86" s="68">
        <v>21411.4</v>
      </c>
      <c r="C86" s="60">
        <f t="shared" si="4"/>
        <v>1.4907403457379953E-2</v>
      </c>
      <c r="E86" s="68">
        <v>308.08999999999997</v>
      </c>
      <c r="F86" s="60">
        <f t="shared" si="5"/>
        <v>3.7305141241035678E-2</v>
      </c>
      <c r="H86" s="69">
        <v>67.38</v>
      </c>
      <c r="I86" s="60">
        <f t="shared" si="9"/>
        <v>8.0789946140034097E-3</v>
      </c>
      <c r="K86" s="69">
        <v>145.25</v>
      </c>
      <c r="L86" s="60">
        <f t="shared" si="7"/>
        <v>2.5631972885185705E-2</v>
      </c>
      <c r="N86" s="69">
        <v>8.8800000000000008</v>
      </c>
      <c r="O86" s="60">
        <f t="shared" si="8"/>
        <v>1.9517795637198576E-2</v>
      </c>
    </row>
    <row r="87" spans="1:15" x14ac:dyDescent="0.3">
      <c r="A87" s="1">
        <v>45935</v>
      </c>
      <c r="B87" s="68">
        <v>21096.9</v>
      </c>
      <c r="C87" s="60">
        <f t="shared" si="4"/>
        <v>-2.8929271728023398E-2</v>
      </c>
      <c r="E87" s="68">
        <v>297.01</v>
      </c>
      <c r="F87" s="60">
        <f t="shared" si="5"/>
        <v>-1.3190245199016681E-2</v>
      </c>
      <c r="H87" s="69">
        <v>66.84</v>
      </c>
      <c r="I87" s="60">
        <f t="shared" si="9"/>
        <v>-2.3948598130841159E-2</v>
      </c>
      <c r="K87" s="69">
        <v>141.62</v>
      </c>
      <c r="L87" s="60">
        <f t="shared" si="7"/>
        <v>-6.0189793616032827E-2</v>
      </c>
      <c r="N87" s="69">
        <v>8.7100000000000009</v>
      </c>
      <c r="O87" s="60">
        <f t="shared" si="8"/>
        <v>-8.7958115183246033E-2</v>
      </c>
    </row>
    <row r="88" spans="1:15" x14ac:dyDescent="0.3">
      <c r="A88" s="1">
        <v>45928</v>
      </c>
      <c r="B88" s="68">
        <v>21725.4</v>
      </c>
      <c r="C88" s="60">
        <f t="shared" si="4"/>
        <v>1.1542311721569165E-2</v>
      </c>
      <c r="E88" s="68">
        <v>300.98</v>
      </c>
      <c r="F88" s="60">
        <f t="shared" si="5"/>
        <v>-1.3956231162363997E-2</v>
      </c>
      <c r="H88" s="69">
        <v>68.48</v>
      </c>
      <c r="I88" s="60">
        <f t="shared" si="9"/>
        <v>5.4999229702665353E-2</v>
      </c>
      <c r="K88" s="69">
        <v>150.69</v>
      </c>
      <c r="L88" s="60">
        <f t="shared" si="7"/>
        <v>-1.3163064833005889E-2</v>
      </c>
      <c r="N88" s="69">
        <v>9.5500000000000007</v>
      </c>
      <c r="O88" s="60">
        <f t="shared" si="8"/>
        <v>3.6916395222584164E-2</v>
      </c>
    </row>
    <row r="89" spans="1:15" x14ac:dyDescent="0.3">
      <c r="A89" s="1">
        <v>45921</v>
      </c>
      <c r="B89" s="68">
        <v>21477.5</v>
      </c>
      <c r="C89" s="60">
        <f t="shared" si="4"/>
        <v>-7.6765609007167779E-4</v>
      </c>
      <c r="E89" s="68">
        <v>305.24</v>
      </c>
      <c r="F89" s="60">
        <f t="shared" si="5"/>
        <v>9.4582975064487762E-3</v>
      </c>
      <c r="H89" s="69">
        <v>64.91</v>
      </c>
      <c r="I89" s="60">
        <f t="shared" si="9"/>
        <v>1.8036386449184372E-2</v>
      </c>
      <c r="K89" s="69">
        <v>152.69999999999999</v>
      </c>
      <c r="L89" s="60">
        <f t="shared" si="7"/>
        <v>4.8331731429355873E-2</v>
      </c>
      <c r="N89" s="69">
        <v>9.2100000000000009</v>
      </c>
      <c r="O89" s="60">
        <f t="shared" si="8"/>
        <v>-1.2861736334405016E-2</v>
      </c>
    </row>
    <row r="90" spans="1:15" x14ac:dyDescent="0.3">
      <c r="A90" s="1">
        <v>45914</v>
      </c>
      <c r="B90" s="68">
        <v>21494</v>
      </c>
      <c r="C90" s="60">
        <f t="shared" si="4"/>
        <v>5.6001833978189808E-3</v>
      </c>
      <c r="E90" s="68">
        <v>302.38</v>
      </c>
      <c r="F90" s="60">
        <f t="shared" si="5"/>
        <v>-9.8886705959396748E-3</v>
      </c>
      <c r="H90" s="69">
        <v>63.76</v>
      </c>
      <c r="I90" s="60">
        <f t="shared" si="9"/>
        <v>1.3350286077558726E-2</v>
      </c>
      <c r="K90" s="69">
        <v>145.66</v>
      </c>
      <c r="L90" s="60">
        <f t="shared" si="7"/>
        <v>-2.5620442838986013E-2</v>
      </c>
      <c r="N90" s="69">
        <v>9.33</v>
      </c>
      <c r="O90" s="60">
        <f t="shared" si="8"/>
        <v>-3.4161490683229823E-2</v>
      </c>
    </row>
    <row r="91" spans="1:15" x14ac:dyDescent="0.3">
      <c r="A91" s="1">
        <v>45907</v>
      </c>
      <c r="B91" s="68">
        <v>21374.3</v>
      </c>
      <c r="C91" s="60">
        <f t="shared" si="4"/>
        <v>1.1274602573807746E-2</v>
      </c>
      <c r="E91" s="68">
        <v>305.39999999999998</v>
      </c>
      <c r="F91" s="60">
        <f t="shared" si="5"/>
        <v>-2.8564158025319752E-2</v>
      </c>
      <c r="H91" s="69">
        <v>62.92</v>
      </c>
      <c r="I91" s="60">
        <f t="shared" si="9"/>
        <v>-2.8526148969888476E-3</v>
      </c>
      <c r="K91" s="69">
        <v>149.49</v>
      </c>
      <c r="L91" s="60">
        <f t="shared" si="7"/>
        <v>3.3960437128233378E-2</v>
      </c>
      <c r="N91" s="69">
        <v>9.66</v>
      </c>
      <c r="O91" s="60">
        <f t="shared" si="8"/>
        <v>-6.4859632139399825E-2</v>
      </c>
    </row>
    <row r="92" spans="1:15" x14ac:dyDescent="0.3">
      <c r="A92" s="1">
        <v>45900</v>
      </c>
      <c r="B92" s="68">
        <v>21136</v>
      </c>
      <c r="C92" s="60">
        <f t="shared" si="4"/>
        <v>-7.3280854785717775E-4</v>
      </c>
      <c r="E92" s="68">
        <v>314.38</v>
      </c>
      <c r="F92" s="60">
        <f t="shared" si="5"/>
        <v>2.6790840084198742E-3</v>
      </c>
      <c r="H92" s="69">
        <v>63.1</v>
      </c>
      <c r="I92" s="60">
        <f t="shared" si="9"/>
        <v>-3.6317700931627339E-3</v>
      </c>
      <c r="K92" s="69">
        <v>144.58000000000001</v>
      </c>
      <c r="L92" s="60">
        <f t="shared" si="7"/>
        <v>-1.6261822140572813E-2</v>
      </c>
      <c r="N92" s="69">
        <v>10.33</v>
      </c>
      <c r="O92" s="60">
        <f t="shared" si="8"/>
        <v>-2.6390197926484338E-2</v>
      </c>
    </row>
    <row r="93" spans="1:15" x14ac:dyDescent="0.3">
      <c r="A93" s="1">
        <v>45893</v>
      </c>
      <c r="B93" s="68">
        <v>21151.5</v>
      </c>
      <c r="C93" s="60">
        <f t="shared" si="4"/>
        <v>6.6193540456227495E-5</v>
      </c>
      <c r="E93" s="68">
        <v>313.54000000000002</v>
      </c>
      <c r="F93" s="60">
        <f t="shared" si="5"/>
        <v>-1.6875218900244127E-3</v>
      </c>
      <c r="H93" s="69">
        <v>63.33</v>
      </c>
      <c r="I93" s="60">
        <f t="shared" si="9"/>
        <v>-1.1041009463722551E-3</v>
      </c>
      <c r="K93" s="69">
        <v>146.97</v>
      </c>
      <c r="L93" s="60">
        <f t="shared" si="7"/>
        <v>-6.0864272671942166E-3</v>
      </c>
      <c r="N93" s="69">
        <v>10.61</v>
      </c>
      <c r="O93" s="60">
        <f t="shared" si="8"/>
        <v>-2.8195488721806106E-3</v>
      </c>
    </row>
    <row r="94" spans="1:15" x14ac:dyDescent="0.3">
      <c r="A94" s="1">
        <v>45886</v>
      </c>
      <c r="B94" s="68">
        <v>21150.1</v>
      </c>
      <c r="C94" s="60">
        <f t="shared" si="4"/>
        <v>1.6699755320222831E-2</v>
      </c>
      <c r="E94" s="68">
        <v>314.07</v>
      </c>
      <c r="F94" s="60">
        <f t="shared" si="5"/>
        <v>1.6638073349949822E-2</v>
      </c>
      <c r="H94" s="69">
        <v>63.4</v>
      </c>
      <c r="I94" s="60">
        <f t="shared" si="9"/>
        <v>-2.8947771481084517E-2</v>
      </c>
      <c r="K94" s="69">
        <v>147.87</v>
      </c>
      <c r="L94" s="60">
        <f t="shared" si="7"/>
        <v>-2.0920502092049986E-3</v>
      </c>
      <c r="N94" s="69">
        <v>10.64</v>
      </c>
      <c r="O94" s="60">
        <f t="shared" si="8"/>
        <v>6.6225165562914245E-3</v>
      </c>
    </row>
    <row r="95" spans="1:15" x14ac:dyDescent="0.3">
      <c r="A95" s="1">
        <v>45879</v>
      </c>
      <c r="B95" s="68">
        <v>20802.7</v>
      </c>
      <c r="C95" s="60">
        <f t="shared" si="4"/>
        <v>1.356934740452731E-2</v>
      </c>
      <c r="E95" s="68">
        <v>308.93</v>
      </c>
      <c r="F95" s="60">
        <f t="shared" si="5"/>
        <v>1.139302668194464E-2</v>
      </c>
      <c r="H95" s="69">
        <v>65.290000000000006</v>
      </c>
      <c r="I95" s="60">
        <f t="shared" si="9"/>
        <v>1.224806201550388E-2</v>
      </c>
      <c r="K95" s="69">
        <v>148.18</v>
      </c>
      <c r="L95" s="60">
        <f t="shared" si="7"/>
        <v>4.8839184597961438E-2</v>
      </c>
      <c r="N95" s="69">
        <v>10.57</v>
      </c>
      <c r="O95" s="60">
        <f t="shared" si="8"/>
        <v>4.757185332011904E-2</v>
      </c>
    </row>
    <row r="96" spans="1:15" x14ac:dyDescent="0.3">
      <c r="A96" s="1">
        <v>45872</v>
      </c>
      <c r="B96" s="68">
        <v>20524.2</v>
      </c>
      <c r="C96" s="60">
        <f t="shared" si="4"/>
        <v>1.2655604730679837E-2</v>
      </c>
      <c r="E96" s="68">
        <v>305.45</v>
      </c>
      <c r="F96" s="60">
        <f t="shared" si="5"/>
        <v>8.4519132358282789E-3</v>
      </c>
      <c r="H96" s="69">
        <v>64.5</v>
      </c>
      <c r="I96" s="60">
        <f t="shared" si="9"/>
        <v>-5.1749485445457211E-2</v>
      </c>
      <c r="K96" s="69">
        <v>141.28</v>
      </c>
      <c r="L96" s="60">
        <f t="shared" si="7"/>
        <v>-2.8068244358833372E-2</v>
      </c>
      <c r="N96" s="69">
        <v>10.09</v>
      </c>
      <c r="O96" s="60">
        <f t="shared" si="8"/>
        <v>1.3052208835341306E-2</v>
      </c>
    </row>
    <row r="97" spans="1:15" x14ac:dyDescent="0.3">
      <c r="A97" s="1">
        <v>45865</v>
      </c>
      <c r="B97" s="68">
        <v>20267.7</v>
      </c>
      <c r="C97" s="60">
        <f t="shared" si="4"/>
        <v>-3.25864899954178E-2</v>
      </c>
      <c r="E97" s="68">
        <v>302.89</v>
      </c>
      <c r="F97" s="60">
        <f t="shared" si="5"/>
        <v>1.4808858511743184E-2</v>
      </c>
      <c r="H97" s="69">
        <v>68.02</v>
      </c>
      <c r="I97" s="60">
        <f t="shared" si="9"/>
        <v>-2.2139160437032901E-2</v>
      </c>
      <c r="K97" s="69">
        <v>145.36000000000001</v>
      </c>
      <c r="L97" s="60">
        <f t="shared" si="7"/>
        <v>-9.1342876618948354E-3</v>
      </c>
      <c r="N97" s="69">
        <v>9.9600000000000009</v>
      </c>
      <c r="O97" s="60">
        <f t="shared" si="8"/>
        <v>-7.4349442379182062E-2</v>
      </c>
    </row>
    <row r="98" spans="1:15" x14ac:dyDescent="0.3">
      <c r="A98" s="1">
        <v>45858</v>
      </c>
      <c r="B98" s="68">
        <v>20950.400000000001</v>
      </c>
      <c r="C98" s="60">
        <f t="shared" si="4"/>
        <v>1.9901078786462634E-2</v>
      </c>
      <c r="E98" s="68">
        <v>298.47000000000003</v>
      </c>
      <c r="F98" s="60">
        <f t="shared" si="5"/>
        <v>4.7126939778503463E-3</v>
      </c>
      <c r="H98" s="69">
        <v>69.56</v>
      </c>
      <c r="I98" s="60">
        <f t="shared" si="9"/>
        <v>6.0746311831068045E-3</v>
      </c>
      <c r="K98" s="69">
        <v>146.69999999999999</v>
      </c>
      <c r="L98" s="60">
        <f t="shared" si="7"/>
        <v>-1.517185821697109E-2</v>
      </c>
      <c r="N98" s="69">
        <v>10.76</v>
      </c>
      <c r="O98" s="60">
        <f t="shared" si="8"/>
        <v>2.7698185291308519E-2</v>
      </c>
    </row>
    <row r="99" spans="1:15" x14ac:dyDescent="0.3">
      <c r="A99" s="1">
        <v>45851</v>
      </c>
      <c r="B99" s="68">
        <v>20541.599999999999</v>
      </c>
      <c r="C99" s="60">
        <f t="shared" si="4"/>
        <v>-2.9687020931790098E-4</v>
      </c>
      <c r="E99" s="68">
        <v>297.07</v>
      </c>
      <c r="F99" s="60">
        <f t="shared" si="5"/>
        <v>-9.4695075189225042E-3</v>
      </c>
      <c r="H99" s="69">
        <v>69.14</v>
      </c>
      <c r="I99" s="60">
        <f t="shared" si="9"/>
        <v>2.6730026730026779E-2</v>
      </c>
      <c r="K99" s="69">
        <v>148.96</v>
      </c>
      <c r="L99" s="60">
        <f t="shared" si="7"/>
        <v>-5.5410908605380005E-3</v>
      </c>
      <c r="N99" s="69">
        <v>10.47</v>
      </c>
      <c r="O99" s="60">
        <f t="shared" si="8"/>
        <v>-4.9909255898366478E-2</v>
      </c>
    </row>
    <row r="100" spans="1:15" x14ac:dyDescent="0.3">
      <c r="A100" s="1">
        <v>45844</v>
      </c>
      <c r="B100" s="68">
        <v>20547.7</v>
      </c>
      <c r="C100" s="60">
        <f t="shared" si="4"/>
        <v>-8.5931544258845971E-3</v>
      </c>
      <c r="E100" s="68">
        <v>299.91000000000003</v>
      </c>
      <c r="F100" s="60">
        <f t="shared" si="5"/>
        <v>1.9824537540805265E-2</v>
      </c>
      <c r="H100" s="69">
        <v>67.34</v>
      </c>
      <c r="I100" s="60">
        <f t="shared" si="9"/>
        <v>-2.2925130586186837E-2</v>
      </c>
      <c r="K100" s="69">
        <v>149.79</v>
      </c>
      <c r="L100" s="60">
        <f t="shared" si="7"/>
        <v>-1.4000000000000679E-3</v>
      </c>
      <c r="N100" s="69">
        <v>11.02</v>
      </c>
      <c r="O100" s="60">
        <f t="shared" si="8"/>
        <v>-5.6506849315068552E-2</v>
      </c>
    </row>
    <row r="101" spans="1:15" x14ac:dyDescent="0.3">
      <c r="A101" s="1">
        <v>45837</v>
      </c>
      <c r="B101" s="68">
        <v>20725.8</v>
      </c>
      <c r="C101" s="60">
        <f t="shared" si="4"/>
        <v>1.9047712701097286E-2</v>
      </c>
      <c r="E101" s="68">
        <v>294.08</v>
      </c>
      <c r="F101" s="60">
        <f t="shared" si="5"/>
        <v>8.6777568170124386E-3</v>
      </c>
      <c r="H101" s="69">
        <v>68.92</v>
      </c>
      <c r="I101" s="60">
        <f t="shared" si="9"/>
        <v>5.4628921193573099E-2</v>
      </c>
      <c r="K101" s="69">
        <v>150</v>
      </c>
      <c r="L101" s="60">
        <f t="shared" si="7"/>
        <v>1.0713563776025836E-2</v>
      </c>
      <c r="N101" s="69">
        <v>11.68</v>
      </c>
      <c r="O101" s="60">
        <f t="shared" si="8"/>
        <v>1.0380622837370179E-2</v>
      </c>
    </row>
    <row r="102" spans="1:15" x14ac:dyDescent="0.3">
      <c r="A102" s="1">
        <v>45830</v>
      </c>
      <c r="B102" s="68">
        <v>20338.400000000001</v>
      </c>
      <c r="C102" s="60">
        <f t="shared" si="4"/>
        <v>2.3655654204666643E-2</v>
      </c>
      <c r="E102" s="68">
        <v>291.55</v>
      </c>
      <c r="F102" s="60">
        <f t="shared" si="5"/>
        <v>1.4228066513602089E-2</v>
      </c>
      <c r="H102" s="69">
        <v>65.349999999999994</v>
      </c>
      <c r="I102" s="60">
        <f t="shared" si="9"/>
        <v>-1.0897532919630692E-2</v>
      </c>
      <c r="K102" s="69">
        <v>148.41</v>
      </c>
      <c r="L102" s="60">
        <f t="shared" si="7"/>
        <v>6.7237163814180878E-2</v>
      </c>
      <c r="N102" s="69">
        <v>11.56</v>
      </c>
      <c r="O102" s="60">
        <f t="shared" si="8"/>
        <v>-3.746877601998333E-2</v>
      </c>
    </row>
    <row r="103" spans="1:15" x14ac:dyDescent="0.3">
      <c r="A103" s="1">
        <v>45823</v>
      </c>
      <c r="B103" s="68">
        <v>19868.400000000001</v>
      </c>
      <c r="C103" s="60">
        <f t="shared" si="4"/>
        <v>-5.6403301119556382E-3</v>
      </c>
      <c r="E103" s="68">
        <v>287.45999999999998</v>
      </c>
      <c r="F103" s="60">
        <f t="shared" si="5"/>
        <v>-4.7861945612931112E-2</v>
      </c>
      <c r="H103" s="69">
        <v>66.069999999999993</v>
      </c>
      <c r="I103" s="60">
        <f t="shared" si="9"/>
        <v>-1.7692536425810479E-2</v>
      </c>
      <c r="K103" s="69">
        <v>139.06</v>
      </c>
      <c r="L103" s="60">
        <f t="shared" si="7"/>
        <v>-3.4305555555555589E-2</v>
      </c>
      <c r="N103" s="69">
        <v>12.01</v>
      </c>
      <c r="O103" s="60">
        <f t="shared" si="8"/>
        <v>7.4239713774597593E-2</v>
      </c>
    </row>
    <row r="104" spans="1:15" x14ac:dyDescent="0.3">
      <c r="A104" s="1">
        <v>45816</v>
      </c>
      <c r="B104" s="68">
        <v>19981.099999999999</v>
      </c>
      <c r="C104" s="60">
        <f t="shared" si="4"/>
        <v>-3.2077184790526569E-3</v>
      </c>
      <c r="E104" s="68">
        <v>301.91000000000003</v>
      </c>
      <c r="F104" s="60">
        <f t="shared" si="5"/>
        <v>-1.773165018219669E-2</v>
      </c>
      <c r="H104" s="69">
        <v>67.260000000000005</v>
      </c>
      <c r="I104" s="60">
        <f t="shared" si="9"/>
        <v>-5.6661991584852633E-2</v>
      </c>
      <c r="K104" s="69">
        <v>144</v>
      </c>
      <c r="L104" s="60">
        <f t="shared" si="7"/>
        <v>-5.7308568666714077E-3</v>
      </c>
      <c r="N104" s="69">
        <v>11.18</v>
      </c>
      <c r="O104" s="60">
        <f t="shared" si="8"/>
        <v>-4.3627031650983694E-2</v>
      </c>
    </row>
    <row r="105" spans="1:15" x14ac:dyDescent="0.3">
      <c r="A105" s="1">
        <v>45809</v>
      </c>
      <c r="B105" s="68">
        <v>20045.400000000001</v>
      </c>
      <c r="C105" s="60">
        <f t="shared" si="4"/>
        <v>1.3222939981196946E-2</v>
      </c>
      <c r="E105" s="68">
        <v>307.36</v>
      </c>
      <c r="F105" s="60">
        <f t="shared" si="5"/>
        <v>-2.0678668153576552E-2</v>
      </c>
      <c r="H105" s="69">
        <v>71.3</v>
      </c>
      <c r="I105" s="60">
        <f t="shared" si="9"/>
        <v>-1.5404005041310675E-3</v>
      </c>
      <c r="K105" s="69">
        <v>144.83000000000001</v>
      </c>
      <c r="L105" s="60">
        <f t="shared" si="7"/>
        <v>6.1831318604974594E-3</v>
      </c>
      <c r="N105" s="69">
        <v>11.69</v>
      </c>
      <c r="O105" s="60">
        <f t="shared" si="8"/>
        <v>2.5438596491228038E-2</v>
      </c>
    </row>
    <row r="106" spans="1:15" x14ac:dyDescent="0.3">
      <c r="A106" s="1">
        <v>45802</v>
      </c>
      <c r="B106" s="68">
        <v>19783.8</v>
      </c>
      <c r="C106" s="60">
        <f t="shared" si="4"/>
        <v>1.2746483199213676E-2</v>
      </c>
      <c r="E106" s="68">
        <v>313.85000000000002</v>
      </c>
      <c r="F106" s="60">
        <f t="shared" si="5"/>
        <v>-2.2888387322376191E-3</v>
      </c>
      <c r="H106" s="69">
        <v>71.41</v>
      </c>
      <c r="I106" s="60">
        <f t="shared" si="9"/>
        <v>1.9123733409447841E-2</v>
      </c>
      <c r="K106" s="69">
        <v>143.94</v>
      </c>
      <c r="L106" s="60">
        <f t="shared" si="7"/>
        <v>-1.0381574424200735E-2</v>
      </c>
      <c r="N106" s="69">
        <v>11.4</v>
      </c>
      <c r="O106" s="60">
        <f t="shared" si="8"/>
        <v>-3.4965034965034336E-3</v>
      </c>
    </row>
    <row r="107" spans="1:15" x14ac:dyDescent="0.3">
      <c r="A107" s="1">
        <v>45795</v>
      </c>
      <c r="B107" s="68">
        <v>19534.8</v>
      </c>
      <c r="C107" s="60">
        <f t="shared" si="4"/>
        <v>-2.0031002152091082E-2</v>
      </c>
      <c r="E107" s="68">
        <v>314.57</v>
      </c>
      <c r="F107" s="60">
        <f t="shared" si="5"/>
        <v>-1.2680079093562724E-2</v>
      </c>
      <c r="H107" s="69">
        <v>70.069999999999993</v>
      </c>
      <c r="I107" s="60">
        <f t="shared" si="9"/>
        <v>-7.7881619937696378E-3</v>
      </c>
      <c r="K107" s="69">
        <v>145.44999999999999</v>
      </c>
      <c r="L107" s="60">
        <f t="shared" si="7"/>
        <v>-1.7694333761059E-2</v>
      </c>
      <c r="N107" s="69">
        <v>11.44</v>
      </c>
      <c r="O107" s="60">
        <f t="shared" si="8"/>
        <v>-6.6884176182708033E-2</v>
      </c>
    </row>
    <row r="108" spans="1:15" x14ac:dyDescent="0.3">
      <c r="A108" s="1">
        <v>45788</v>
      </c>
      <c r="B108" s="68">
        <v>19934.099999999999</v>
      </c>
      <c r="C108" s="60">
        <f t="shared" si="4"/>
        <v>3.1828440101039357E-2</v>
      </c>
      <c r="E108" s="68">
        <v>318.61</v>
      </c>
      <c r="F108" s="60">
        <f t="shared" si="5"/>
        <v>1.5716653914817691E-2</v>
      </c>
      <c r="H108" s="69">
        <v>70.62</v>
      </c>
      <c r="I108" s="60">
        <f t="shared" si="9"/>
        <v>5.1988678683152267E-2</v>
      </c>
      <c r="K108" s="69">
        <v>148.07</v>
      </c>
      <c r="L108" s="60">
        <f t="shared" si="7"/>
        <v>6.3889077686398732E-3</v>
      </c>
      <c r="N108" s="69">
        <v>12.26</v>
      </c>
      <c r="O108" s="60">
        <f t="shared" si="8"/>
        <v>2.1666666666666723E-2</v>
      </c>
    </row>
    <row r="109" spans="1:15" x14ac:dyDescent="0.3">
      <c r="A109" s="1">
        <v>45781</v>
      </c>
      <c r="B109" s="68">
        <v>19319.2</v>
      </c>
      <c r="C109" s="60">
        <f t="shared" si="4"/>
        <v>-3.4817684288713791E-3</v>
      </c>
      <c r="E109" s="68">
        <v>313.68</v>
      </c>
      <c r="F109" s="60">
        <f t="shared" si="5"/>
        <v>5.5135273753046388E-3</v>
      </c>
      <c r="H109" s="69">
        <v>67.13</v>
      </c>
      <c r="I109" s="60">
        <f t="shared" si="9"/>
        <v>7.6553587511256627E-3</v>
      </c>
      <c r="K109" s="69">
        <v>147.13</v>
      </c>
      <c r="L109" s="60">
        <f t="shared" si="7"/>
        <v>-1.3477269679495696E-2</v>
      </c>
      <c r="N109" s="69">
        <v>12</v>
      </c>
      <c r="O109" s="60">
        <f t="shared" si="8"/>
        <v>-4.3824701195219196E-2</v>
      </c>
    </row>
    <row r="110" spans="1:15" x14ac:dyDescent="0.3">
      <c r="A110" s="1">
        <v>45774</v>
      </c>
      <c r="B110" s="68">
        <v>19386.7</v>
      </c>
      <c r="C110" s="60">
        <f t="shared" si="4"/>
        <v>2.5762177377538498E-2</v>
      </c>
      <c r="E110" s="68">
        <v>311.95999999999998</v>
      </c>
      <c r="F110" s="60">
        <f t="shared" si="5"/>
        <v>-1.5091242028162033E-2</v>
      </c>
      <c r="H110" s="69">
        <v>66.62</v>
      </c>
      <c r="I110" s="60">
        <f t="shared" si="9"/>
        <v>5.9141494435612119E-2</v>
      </c>
      <c r="K110" s="69">
        <v>149.13999999999999</v>
      </c>
      <c r="L110" s="60">
        <f t="shared" si="7"/>
        <v>1.2491513917175734E-2</v>
      </c>
      <c r="N110" s="69">
        <v>12.55</v>
      </c>
      <c r="O110" s="60">
        <f t="shared" si="8"/>
        <v>-1.7996870109546093E-2</v>
      </c>
    </row>
    <row r="111" spans="1:15" x14ac:dyDescent="0.3">
      <c r="A111" s="1">
        <v>45767</v>
      </c>
      <c r="B111" s="68">
        <v>18899.8</v>
      </c>
      <c r="C111" s="60">
        <f t="shared" si="4"/>
        <v>2.9002945484044806E-2</v>
      </c>
      <c r="E111" s="68">
        <v>316.74</v>
      </c>
      <c r="F111" s="60">
        <f t="shared" si="5"/>
        <v>1.7475104400899388E-2</v>
      </c>
      <c r="H111" s="69">
        <v>62.9</v>
      </c>
      <c r="I111" s="60">
        <f t="shared" si="9"/>
        <v>-5.0616893388167883E-3</v>
      </c>
      <c r="K111" s="69">
        <v>147.30000000000001</v>
      </c>
      <c r="L111" s="60">
        <f t="shared" si="7"/>
        <v>2.7841741678878096E-2</v>
      </c>
      <c r="N111" s="69">
        <v>12.78</v>
      </c>
      <c r="O111" s="60">
        <f t="shared" si="8"/>
        <v>7.8864353312302349E-3</v>
      </c>
    </row>
    <row r="112" spans="1:15" x14ac:dyDescent="0.3">
      <c r="A112" s="1">
        <v>45760</v>
      </c>
      <c r="B112" s="68">
        <v>18367.099999999999</v>
      </c>
      <c r="C112" s="60">
        <f t="shared" si="4"/>
        <v>8.090144184591308E-3</v>
      </c>
      <c r="E112" s="68">
        <v>311.3</v>
      </c>
      <c r="F112" s="60">
        <f t="shared" si="5"/>
        <v>4.5175863181672327E-3</v>
      </c>
      <c r="H112" s="69">
        <v>63.22</v>
      </c>
      <c r="I112" s="60">
        <f t="shared" si="9"/>
        <v>5.2472571155985914E-3</v>
      </c>
      <c r="K112" s="69">
        <v>143.31</v>
      </c>
      <c r="L112" s="60">
        <f t="shared" si="7"/>
        <v>-1.1655172413793102E-2</v>
      </c>
      <c r="N112" s="69">
        <v>12.68</v>
      </c>
      <c r="O112" s="60">
        <f t="shared" si="8"/>
        <v>-8.6004691164972558E-3</v>
      </c>
    </row>
    <row r="113" spans="1:15" x14ac:dyDescent="0.3">
      <c r="A113" s="1">
        <v>45753</v>
      </c>
      <c r="B113" s="68">
        <v>18219.7</v>
      </c>
      <c r="C113" s="60">
        <f t="shared" si="4"/>
        <v>3.4117353251677418E-2</v>
      </c>
      <c r="E113" s="68">
        <v>309.89999999999998</v>
      </c>
      <c r="F113" s="60">
        <f t="shared" si="5"/>
        <v>3.2621372163539997E-2</v>
      </c>
      <c r="H113" s="69">
        <v>62.89</v>
      </c>
      <c r="I113" s="60">
        <f t="shared" si="9"/>
        <v>-1.0852469329977965E-2</v>
      </c>
      <c r="K113" s="69">
        <v>145</v>
      </c>
      <c r="L113" s="60">
        <f t="shared" si="7"/>
        <v>-1.9143610904417296E-2</v>
      </c>
      <c r="N113" s="69">
        <v>12.79</v>
      </c>
      <c r="O113" s="60">
        <f t="shared" si="8"/>
        <v>-3.8345864661654239E-2</v>
      </c>
    </row>
    <row r="114" spans="1:15" x14ac:dyDescent="0.3">
      <c r="A114" s="1">
        <v>45746</v>
      </c>
      <c r="B114" s="68">
        <v>17618.599999999999</v>
      </c>
      <c r="C114" s="60">
        <f t="shared" ref="C114:C177" si="10">B114/B115-1</f>
        <v>-8.5712209981162801E-2</v>
      </c>
      <c r="E114" s="68">
        <v>300.11</v>
      </c>
      <c r="F114" s="60">
        <f t="shared" ref="F114:F177" si="11">E114/E115-1</f>
        <v>-2.2729492982513144E-2</v>
      </c>
      <c r="H114" s="69">
        <v>63.58</v>
      </c>
      <c r="I114" s="60">
        <f t="shared" si="9"/>
        <v>-1.456912585244885E-2</v>
      </c>
      <c r="K114" s="69">
        <v>147.83000000000001</v>
      </c>
      <c r="L114" s="60">
        <f t="shared" ref="L114:L177" si="12">K114/K115-1</f>
        <v>-5.0911658962506268E-2</v>
      </c>
      <c r="N114" s="69">
        <v>13.3</v>
      </c>
      <c r="O114" s="60">
        <f t="shared" ref="O114:O177" si="13">N114/N115-1</f>
        <v>-9.0909090909090939E-2</v>
      </c>
    </row>
    <row r="115" spans="1:15" x14ac:dyDescent="0.3">
      <c r="A115" s="1">
        <v>45739</v>
      </c>
      <c r="B115" s="68">
        <v>19270.3</v>
      </c>
      <c r="C115" s="60">
        <f t="shared" si="10"/>
        <v>-9.4580632559382316E-3</v>
      </c>
      <c r="E115" s="68">
        <v>307.08999999999997</v>
      </c>
      <c r="F115" s="60">
        <f t="shared" si="11"/>
        <v>5.4020429544263671E-3</v>
      </c>
      <c r="H115" s="69">
        <v>64.52</v>
      </c>
      <c r="I115" s="60">
        <f t="shared" si="9"/>
        <v>-3.7014925373134333E-2</v>
      </c>
      <c r="K115" s="69">
        <v>155.76</v>
      </c>
      <c r="L115" s="60">
        <f t="shared" si="12"/>
        <v>-6.3157894736842746E-3</v>
      </c>
      <c r="N115" s="69">
        <v>14.63</v>
      </c>
      <c r="O115" s="60">
        <f t="shared" si="13"/>
        <v>-4.1284403669724745E-2</v>
      </c>
    </row>
    <row r="116" spans="1:15" x14ac:dyDescent="0.3">
      <c r="A116" s="1">
        <v>45732</v>
      </c>
      <c r="B116" s="68">
        <v>19454.3</v>
      </c>
      <c r="C116" s="60">
        <f t="shared" si="10"/>
        <v>1.1595679959233163E-2</v>
      </c>
      <c r="E116" s="68">
        <v>305.44</v>
      </c>
      <c r="F116" s="60">
        <f t="shared" si="11"/>
        <v>1.8710602674849142E-2</v>
      </c>
      <c r="H116" s="69">
        <v>67</v>
      </c>
      <c r="I116" s="60">
        <f t="shared" si="9"/>
        <v>1.4229488343929786E-2</v>
      </c>
      <c r="K116" s="69">
        <v>156.75</v>
      </c>
      <c r="L116" s="60">
        <f t="shared" si="12"/>
        <v>1.096420509513063E-2</v>
      </c>
      <c r="N116" s="69">
        <v>15.26</v>
      </c>
      <c r="O116" s="60">
        <f t="shared" si="13"/>
        <v>-5.8631921824103816E-3</v>
      </c>
    </row>
    <row r="117" spans="1:15" x14ac:dyDescent="0.3">
      <c r="A117" s="1">
        <v>45725</v>
      </c>
      <c r="B117" s="68">
        <v>19231.3</v>
      </c>
      <c r="C117" s="60">
        <f t="shared" si="10"/>
        <v>-1.7462742232962514E-2</v>
      </c>
      <c r="E117" s="68">
        <v>299.83</v>
      </c>
      <c r="F117" s="60">
        <f t="shared" si="11"/>
        <v>-6.6793239752248823E-2</v>
      </c>
      <c r="H117" s="69">
        <v>66.06</v>
      </c>
      <c r="I117" s="60">
        <f t="shared" si="9"/>
        <v>-5.0452781371280619E-2</v>
      </c>
      <c r="K117" s="69">
        <v>155.05000000000001</v>
      </c>
      <c r="L117" s="60">
        <f t="shared" si="12"/>
        <v>-4.6022272811173215E-2</v>
      </c>
      <c r="N117" s="69">
        <v>15.35</v>
      </c>
      <c r="O117" s="60">
        <f t="shared" si="13"/>
        <v>-1.1590470057952329E-2</v>
      </c>
    </row>
    <row r="118" spans="1:15" x14ac:dyDescent="0.3">
      <c r="A118" s="1">
        <v>45718</v>
      </c>
      <c r="B118" s="68">
        <v>19573.099999999999</v>
      </c>
      <c r="C118" s="60">
        <f t="shared" si="10"/>
        <v>-2.2722960625518152E-2</v>
      </c>
      <c r="E118" s="68">
        <v>321.29000000000002</v>
      </c>
      <c r="F118" s="60">
        <f t="shared" si="11"/>
        <v>4.2032886842020112E-2</v>
      </c>
      <c r="H118" s="69">
        <v>69.569999999999993</v>
      </c>
      <c r="I118" s="60">
        <f t="shared" si="9"/>
        <v>6.6206896551723959E-2</v>
      </c>
      <c r="K118" s="69">
        <v>162.53</v>
      </c>
      <c r="L118" s="60">
        <f t="shared" si="12"/>
        <v>3.9393745603376606E-2</v>
      </c>
      <c r="N118" s="69">
        <v>15.53</v>
      </c>
      <c r="O118" s="60">
        <f t="shared" si="13"/>
        <v>1.935483870967758E-3</v>
      </c>
    </row>
    <row r="119" spans="1:15" x14ac:dyDescent="0.3">
      <c r="A119" s="1">
        <v>45711</v>
      </c>
      <c r="B119" s="68">
        <v>20028.2</v>
      </c>
      <c r="C119" s="60">
        <f t="shared" si="10"/>
        <v>7.378718909539117E-3</v>
      </c>
      <c r="E119" s="68">
        <v>308.33</v>
      </c>
      <c r="F119" s="60">
        <f t="shared" si="11"/>
        <v>1.1548177553229788E-2</v>
      </c>
      <c r="H119" s="69">
        <v>65.25</v>
      </c>
      <c r="I119" s="60">
        <f t="shared" ref="I119:I182" si="14">H119/H120-1</f>
        <v>4.7183437650457405E-2</v>
      </c>
      <c r="K119" s="69">
        <v>156.37</v>
      </c>
      <c r="L119" s="60">
        <f t="shared" si="12"/>
        <v>5.122689075630249E-2</v>
      </c>
      <c r="N119" s="69">
        <v>15.5</v>
      </c>
      <c r="O119" s="60">
        <f t="shared" si="13"/>
        <v>1.9066403681788247E-2</v>
      </c>
    </row>
    <row r="120" spans="1:15" x14ac:dyDescent="0.3">
      <c r="A120" s="1">
        <v>45704</v>
      </c>
      <c r="B120" s="68">
        <v>19881.5</v>
      </c>
      <c r="C120" s="60">
        <f t="shared" si="10"/>
        <v>-1.2369290380268794E-2</v>
      </c>
      <c r="E120" s="68">
        <v>304.81</v>
      </c>
      <c r="F120" s="60">
        <f t="shared" si="11"/>
        <v>-1.2121212121212199E-2</v>
      </c>
      <c r="H120" s="69">
        <v>62.31</v>
      </c>
      <c r="I120" s="60">
        <f t="shared" si="14"/>
        <v>-3.4252944823310538E-2</v>
      </c>
      <c r="K120" s="69">
        <v>148.75</v>
      </c>
      <c r="L120" s="60">
        <f t="shared" si="12"/>
        <v>5.6791292001894256E-3</v>
      </c>
      <c r="N120" s="69">
        <v>15.21</v>
      </c>
      <c r="O120" s="60">
        <f t="shared" si="13"/>
        <v>6.3636363636363713E-2</v>
      </c>
    </row>
    <row r="121" spans="1:15" x14ac:dyDescent="0.3">
      <c r="A121" s="1">
        <v>45697</v>
      </c>
      <c r="B121" s="68">
        <v>20130.5</v>
      </c>
      <c r="C121" s="60">
        <f t="shared" si="10"/>
        <v>4.5410314628608894E-3</v>
      </c>
      <c r="E121" s="68">
        <v>308.55</v>
      </c>
      <c r="F121" s="60">
        <f t="shared" si="11"/>
        <v>4.8419979612640107E-2</v>
      </c>
      <c r="H121" s="69">
        <v>64.52</v>
      </c>
      <c r="I121" s="60">
        <f t="shared" si="14"/>
        <v>5.9245400685998817E-3</v>
      </c>
      <c r="K121" s="69">
        <v>147.91</v>
      </c>
      <c r="L121" s="60">
        <f t="shared" si="12"/>
        <v>3.0300919476177191E-2</v>
      </c>
      <c r="N121" s="69">
        <v>14.3</v>
      </c>
      <c r="O121" s="60">
        <f t="shared" si="13"/>
        <v>-9.009009009008917E-3</v>
      </c>
    </row>
    <row r="122" spans="1:15" x14ac:dyDescent="0.3">
      <c r="A122" s="1">
        <v>45690</v>
      </c>
      <c r="B122" s="68">
        <v>20039.5</v>
      </c>
      <c r="C122" s="60">
        <f t="shared" si="10"/>
        <v>2.0351221073264814E-3</v>
      </c>
      <c r="E122" s="68">
        <v>294.3</v>
      </c>
      <c r="F122" s="60">
        <f t="shared" si="11"/>
        <v>1.939729823346048E-2</v>
      </c>
      <c r="H122" s="69">
        <v>64.14</v>
      </c>
      <c r="I122" s="60">
        <f t="shared" si="14"/>
        <v>4.2248943776405534E-2</v>
      </c>
      <c r="K122" s="69">
        <v>143.56</v>
      </c>
      <c r="L122" s="60">
        <f t="shared" si="12"/>
        <v>0.10007662835249054</v>
      </c>
      <c r="N122" s="69">
        <v>14.43</v>
      </c>
      <c r="O122" s="60">
        <f t="shared" si="13"/>
        <v>-2.6972353337828769E-2</v>
      </c>
    </row>
    <row r="123" spans="1:15" x14ac:dyDescent="0.3">
      <c r="A123" s="1">
        <v>45683</v>
      </c>
      <c r="B123" s="68">
        <v>19998.8</v>
      </c>
      <c r="C123" s="60">
        <f t="shared" si="10"/>
        <v>6.5008126015619894E-5</v>
      </c>
      <c r="E123" s="68">
        <v>288.7</v>
      </c>
      <c r="F123" s="60">
        <f t="shared" si="11"/>
        <v>1.1350101590415607E-2</v>
      </c>
      <c r="H123" s="69">
        <v>61.54</v>
      </c>
      <c r="I123" s="60">
        <f t="shared" si="14"/>
        <v>-8.6984536082473918E-3</v>
      </c>
      <c r="K123" s="69">
        <v>130.5</v>
      </c>
      <c r="L123" s="60">
        <f t="shared" si="12"/>
        <v>1.7464525183221724E-2</v>
      </c>
      <c r="N123" s="69">
        <v>14.83</v>
      </c>
      <c r="O123" s="60">
        <f t="shared" si="13"/>
        <v>3.7062937062936951E-2</v>
      </c>
    </row>
    <row r="124" spans="1:15" x14ac:dyDescent="0.3">
      <c r="A124" s="1">
        <v>45676</v>
      </c>
      <c r="B124" s="68">
        <v>19997.5</v>
      </c>
      <c r="C124" s="60">
        <f t="shared" si="10"/>
        <v>1.989554963942175E-2</v>
      </c>
      <c r="E124" s="68">
        <v>285.45999999999998</v>
      </c>
      <c r="F124" s="60">
        <f t="shared" si="11"/>
        <v>1.6052678412528998E-2</v>
      </c>
      <c r="H124" s="69">
        <v>62.08</v>
      </c>
      <c r="I124" s="60">
        <f t="shared" si="14"/>
        <v>2.6455026455026509E-2</v>
      </c>
      <c r="K124" s="69">
        <v>128.26</v>
      </c>
      <c r="L124" s="60">
        <f t="shared" si="12"/>
        <v>2.3459942547079393E-2</v>
      </c>
      <c r="N124" s="69">
        <v>14.3</v>
      </c>
      <c r="O124" s="60">
        <f t="shared" si="13"/>
        <v>-2.0547945205479423E-2</v>
      </c>
    </row>
    <row r="125" spans="1:15" x14ac:dyDescent="0.3">
      <c r="A125" s="1">
        <v>45669</v>
      </c>
      <c r="B125" s="68">
        <v>19607.400000000001</v>
      </c>
      <c r="C125" s="60">
        <f t="shared" si="10"/>
        <v>3.398196487897498E-2</v>
      </c>
      <c r="E125" s="68">
        <v>280.95</v>
      </c>
      <c r="F125" s="60">
        <f t="shared" si="11"/>
        <v>-4.8173993128122206E-3</v>
      </c>
      <c r="H125" s="69">
        <v>60.48</v>
      </c>
      <c r="I125" s="60">
        <f t="shared" si="14"/>
        <v>-6.5703022339028694E-3</v>
      </c>
      <c r="K125" s="69">
        <v>125.32</v>
      </c>
      <c r="L125" s="60">
        <f t="shared" si="12"/>
        <v>1.6795131845841693E-2</v>
      </c>
      <c r="N125" s="69">
        <v>14.6</v>
      </c>
      <c r="O125" s="60">
        <f t="shared" si="13"/>
        <v>-2.2757697456492587E-2</v>
      </c>
    </row>
    <row r="126" spans="1:15" x14ac:dyDescent="0.3">
      <c r="A126" s="1">
        <v>45662</v>
      </c>
      <c r="B126" s="68">
        <v>18963</v>
      </c>
      <c r="C126" s="60">
        <f t="shared" si="10"/>
        <v>-1.5129088047864614E-2</v>
      </c>
      <c r="E126" s="68">
        <v>282.31</v>
      </c>
      <c r="F126" s="60">
        <f t="shared" si="11"/>
        <v>-4.2302734242485873E-2</v>
      </c>
      <c r="H126" s="69">
        <v>60.88</v>
      </c>
      <c r="I126" s="60">
        <f t="shared" si="14"/>
        <v>-6.2519248537111105E-2</v>
      </c>
      <c r="K126" s="69">
        <v>123.25</v>
      </c>
      <c r="L126" s="60">
        <f t="shared" si="12"/>
        <v>-7.6363908872901676E-2</v>
      </c>
      <c r="N126" s="69">
        <v>14.94</v>
      </c>
      <c r="O126" s="60">
        <f t="shared" si="13"/>
        <v>-7.6066790352504743E-2</v>
      </c>
    </row>
    <row r="127" spans="1:15" x14ac:dyDescent="0.3">
      <c r="A127" s="1">
        <v>45655</v>
      </c>
      <c r="B127" s="68">
        <v>19254.3</v>
      </c>
      <c r="C127" s="60">
        <f t="shared" si="10"/>
        <v>8.2126984952046733E-4</v>
      </c>
      <c r="E127" s="68">
        <v>294.77999999999997</v>
      </c>
      <c r="F127" s="60">
        <f t="shared" si="11"/>
        <v>3.9506845582724104E-3</v>
      </c>
      <c r="H127" s="69">
        <v>64.94</v>
      </c>
      <c r="I127" s="60">
        <f t="shared" si="14"/>
        <v>-9.1547146780592836E-3</v>
      </c>
      <c r="K127" s="69">
        <v>133.44</v>
      </c>
      <c r="L127" s="60">
        <f t="shared" si="12"/>
        <v>-1.3236707831102534E-2</v>
      </c>
      <c r="N127" s="69">
        <v>16.170000000000002</v>
      </c>
      <c r="O127" s="60">
        <f t="shared" si="13"/>
        <v>-1.9999999999999907E-2</v>
      </c>
    </row>
    <row r="128" spans="1:15" x14ac:dyDescent="0.3">
      <c r="A128" s="1">
        <v>45648</v>
      </c>
      <c r="B128" s="68">
        <v>19238.5</v>
      </c>
      <c r="C128" s="60">
        <f t="shared" si="10"/>
        <v>6.2292749772481226E-3</v>
      </c>
      <c r="E128" s="68">
        <v>293.62</v>
      </c>
      <c r="F128" s="60">
        <f t="shared" si="11"/>
        <v>3.2116987836545707E-3</v>
      </c>
      <c r="H128" s="69">
        <v>65.540000000000006</v>
      </c>
      <c r="I128" s="60">
        <f t="shared" si="14"/>
        <v>-1.8421446757525661E-2</v>
      </c>
      <c r="K128" s="69">
        <v>135.22999999999999</v>
      </c>
      <c r="L128" s="60">
        <f t="shared" si="12"/>
        <v>2.1683288002417367E-2</v>
      </c>
      <c r="N128" s="69">
        <v>16.5</v>
      </c>
      <c r="O128" s="60">
        <f t="shared" si="13"/>
        <v>-9.009009009008917E-3</v>
      </c>
    </row>
    <row r="129" spans="1:15" x14ac:dyDescent="0.3">
      <c r="A129" s="1">
        <v>45641</v>
      </c>
      <c r="B129" s="68">
        <v>19119.400000000001</v>
      </c>
      <c r="C129" s="60">
        <f t="shared" si="10"/>
        <v>-3.0918324936389352E-2</v>
      </c>
      <c r="E129" s="68">
        <v>292.68</v>
      </c>
      <c r="F129" s="60">
        <f t="shared" si="11"/>
        <v>-1.3216453135536099E-2</v>
      </c>
      <c r="H129" s="69">
        <v>66.77</v>
      </c>
      <c r="I129" s="60">
        <f t="shared" si="14"/>
        <v>-2.2114821323960254E-2</v>
      </c>
      <c r="K129" s="69">
        <v>132.36000000000001</v>
      </c>
      <c r="L129" s="60">
        <f t="shared" si="12"/>
        <v>-3.3868613138686054E-2</v>
      </c>
      <c r="N129" s="69">
        <v>16.649999999999999</v>
      </c>
      <c r="O129" s="60">
        <f t="shared" si="13"/>
        <v>-2.688486265341905E-2</v>
      </c>
    </row>
    <row r="130" spans="1:15" x14ac:dyDescent="0.3">
      <c r="A130" s="1">
        <v>45634</v>
      </c>
      <c r="B130" s="68">
        <v>19729.400000000001</v>
      </c>
      <c r="C130" s="60">
        <f t="shared" si="10"/>
        <v>-1.8818567918916895E-2</v>
      </c>
      <c r="E130" s="68">
        <v>296.60000000000002</v>
      </c>
      <c r="F130" s="60">
        <f t="shared" si="11"/>
        <v>-7.9603986888755474E-3</v>
      </c>
      <c r="H130" s="69">
        <v>68.28</v>
      </c>
      <c r="I130" s="60">
        <f t="shared" si="14"/>
        <v>-1.0291346571966842E-2</v>
      </c>
      <c r="K130" s="69">
        <v>137</v>
      </c>
      <c r="L130" s="60">
        <f t="shared" si="12"/>
        <v>-4.5774903727384686E-3</v>
      </c>
      <c r="N130" s="69">
        <v>17.11</v>
      </c>
      <c r="O130" s="60">
        <f t="shared" si="13"/>
        <v>-2.1167048054919979E-2</v>
      </c>
    </row>
    <row r="131" spans="1:15" x14ac:dyDescent="0.3">
      <c r="A131" s="1">
        <v>45627</v>
      </c>
      <c r="B131" s="68">
        <v>20107.8</v>
      </c>
      <c r="C131" s="60">
        <f t="shared" si="10"/>
        <v>-8.099842146803482E-3</v>
      </c>
      <c r="E131" s="68">
        <v>298.98</v>
      </c>
      <c r="F131" s="60">
        <f t="shared" si="11"/>
        <v>1.0033444816053505E-2</v>
      </c>
      <c r="H131" s="69">
        <v>68.989999999999995</v>
      </c>
      <c r="I131" s="60">
        <f t="shared" si="14"/>
        <v>-8.9067662692142724E-3</v>
      </c>
      <c r="K131" s="69">
        <v>137.63</v>
      </c>
      <c r="L131" s="60">
        <f t="shared" si="12"/>
        <v>-9.428530300849336E-3</v>
      </c>
      <c r="N131" s="69">
        <v>17.48</v>
      </c>
      <c r="O131" s="60">
        <f t="shared" si="13"/>
        <v>-4.7930283224400849E-2</v>
      </c>
    </row>
    <row r="132" spans="1:15" x14ac:dyDescent="0.3">
      <c r="A132" s="1">
        <v>45620</v>
      </c>
      <c r="B132" s="68">
        <v>20272</v>
      </c>
      <c r="C132" s="60">
        <f t="shared" si="10"/>
        <v>7.3794320073545805E-3</v>
      </c>
      <c r="E132" s="68">
        <v>296.01</v>
      </c>
      <c r="F132" s="60">
        <f t="shared" si="11"/>
        <v>1.9739561802397665E-2</v>
      </c>
      <c r="H132" s="69">
        <v>69.61</v>
      </c>
      <c r="I132" s="60">
        <f t="shared" si="14"/>
        <v>7.380607814761353E-3</v>
      </c>
      <c r="K132" s="69">
        <v>138.94</v>
      </c>
      <c r="L132" s="60">
        <f t="shared" si="12"/>
        <v>2.7130923338507973E-2</v>
      </c>
      <c r="N132" s="69">
        <v>18.36</v>
      </c>
      <c r="O132" s="60">
        <f t="shared" si="13"/>
        <v>2.1134593993325845E-2</v>
      </c>
    </row>
    <row r="133" spans="1:15" x14ac:dyDescent="0.3">
      <c r="A133" s="1">
        <v>45613</v>
      </c>
      <c r="B133" s="68">
        <v>20123.5</v>
      </c>
      <c r="C133" s="60">
        <f t="shared" si="10"/>
        <v>2.4315629803825844E-2</v>
      </c>
      <c r="E133" s="68">
        <v>290.27999999999997</v>
      </c>
      <c r="F133" s="60">
        <f t="shared" si="11"/>
        <v>-8.0306188702458092E-3</v>
      </c>
      <c r="H133" s="69">
        <v>69.099999999999994</v>
      </c>
      <c r="I133" s="60">
        <f t="shared" si="14"/>
        <v>2.3400473933649302E-2</v>
      </c>
      <c r="K133" s="69">
        <v>135.27000000000001</v>
      </c>
      <c r="L133" s="60">
        <f t="shared" si="12"/>
        <v>1.257579160116773E-2</v>
      </c>
      <c r="N133" s="69">
        <v>17.98</v>
      </c>
      <c r="O133" s="60">
        <f t="shared" si="13"/>
        <v>-7.7262693156733286E-3</v>
      </c>
    </row>
    <row r="134" spans="1:15" x14ac:dyDescent="0.3">
      <c r="A134" s="1">
        <v>45606</v>
      </c>
      <c r="B134" s="68">
        <v>19645.8</v>
      </c>
      <c r="C134" s="60">
        <f t="shared" si="10"/>
        <v>-1.4610951442285969E-2</v>
      </c>
      <c r="E134" s="68">
        <v>292.63</v>
      </c>
      <c r="F134" s="60">
        <f t="shared" si="11"/>
        <v>-2.1206141084389896E-2</v>
      </c>
      <c r="H134" s="69">
        <v>67.52</v>
      </c>
      <c r="I134" s="60">
        <f t="shared" si="14"/>
        <v>-6.91278129136641E-3</v>
      </c>
      <c r="K134" s="69">
        <v>133.59</v>
      </c>
      <c r="L134" s="60">
        <f t="shared" si="12"/>
        <v>-2.6382916697033743E-2</v>
      </c>
      <c r="N134" s="69">
        <v>18.12</v>
      </c>
      <c r="O134" s="60">
        <f t="shared" si="13"/>
        <v>-7.2671443193449203E-2</v>
      </c>
    </row>
    <row r="135" spans="1:15" x14ac:dyDescent="0.3">
      <c r="A135" s="1">
        <v>45599</v>
      </c>
      <c r="B135" s="68">
        <v>19937.099999999999</v>
      </c>
      <c r="C135" s="60">
        <f t="shared" si="10"/>
        <v>3.5505232814812882E-2</v>
      </c>
      <c r="E135" s="68">
        <v>298.97000000000003</v>
      </c>
      <c r="F135" s="60">
        <f t="shared" si="11"/>
        <v>1.2736695911385265E-2</v>
      </c>
      <c r="H135" s="69">
        <v>67.989999999999995</v>
      </c>
      <c r="I135" s="60">
        <f t="shared" si="14"/>
        <v>-2.8436696198914091E-2</v>
      </c>
      <c r="K135" s="69">
        <v>137.21</v>
      </c>
      <c r="L135" s="60">
        <f t="shared" si="12"/>
        <v>3.6799153695028064E-2</v>
      </c>
      <c r="N135" s="69">
        <v>19.54</v>
      </c>
      <c r="O135" s="60">
        <f t="shared" si="13"/>
        <v>-6.1037639877925542E-3</v>
      </c>
    </row>
    <row r="136" spans="1:15" x14ac:dyDescent="0.3">
      <c r="A136" s="1">
        <v>45592</v>
      </c>
      <c r="B136" s="68">
        <v>19253.5</v>
      </c>
      <c r="C136" s="60">
        <f t="shared" si="10"/>
        <v>-1.0423359014817835E-2</v>
      </c>
      <c r="E136" s="68">
        <v>295.20999999999998</v>
      </c>
      <c r="F136" s="60">
        <f t="shared" si="11"/>
        <v>8.8855473155393661E-3</v>
      </c>
      <c r="H136" s="69">
        <v>69.98</v>
      </c>
      <c r="I136" s="60">
        <f t="shared" si="14"/>
        <v>-7.9387581514034355E-3</v>
      </c>
      <c r="K136" s="69">
        <v>132.34</v>
      </c>
      <c r="L136" s="60">
        <f t="shared" si="12"/>
        <v>-5.2615754660251257E-3</v>
      </c>
      <c r="N136" s="69">
        <v>19.66</v>
      </c>
      <c r="O136" s="60">
        <f t="shared" si="13"/>
        <v>6.1412487205732003E-3</v>
      </c>
    </row>
    <row r="137" spans="1:15" x14ac:dyDescent="0.3">
      <c r="A137" s="1">
        <v>45585</v>
      </c>
      <c r="B137" s="68">
        <v>19456.3</v>
      </c>
      <c r="C137" s="60">
        <f t="shared" si="10"/>
        <v>-2.1549122948181565E-2</v>
      </c>
      <c r="E137" s="68">
        <v>292.61</v>
      </c>
      <c r="F137" s="60">
        <f t="shared" si="11"/>
        <v>-7.5657063431892824E-2</v>
      </c>
      <c r="H137" s="69">
        <v>70.540000000000006</v>
      </c>
      <c r="I137" s="60">
        <f t="shared" si="14"/>
        <v>-1.4174344436557185E-4</v>
      </c>
      <c r="K137" s="69">
        <v>133.04</v>
      </c>
      <c r="L137" s="60">
        <f t="shared" si="12"/>
        <v>-9.160646458628241E-3</v>
      </c>
      <c r="N137" s="69">
        <v>19.54</v>
      </c>
      <c r="O137" s="60">
        <f t="shared" si="13"/>
        <v>-8.1218274111675148E-3</v>
      </c>
    </row>
    <row r="138" spans="1:15" x14ac:dyDescent="0.3">
      <c r="A138" s="1">
        <v>45578</v>
      </c>
      <c r="B138" s="68">
        <v>19884.8</v>
      </c>
      <c r="C138" s="60">
        <f t="shared" si="10"/>
        <v>8.8071756158933923E-3</v>
      </c>
      <c r="E138" s="68">
        <v>316.56</v>
      </c>
      <c r="F138" s="60">
        <f t="shared" si="11"/>
        <v>3.7765538945711885E-2</v>
      </c>
      <c r="H138" s="69">
        <v>70.55</v>
      </c>
      <c r="I138" s="60">
        <f t="shared" si="14"/>
        <v>-3.6717977686767655E-3</v>
      </c>
      <c r="K138" s="69">
        <v>134.27000000000001</v>
      </c>
      <c r="L138" s="60">
        <f t="shared" si="12"/>
        <v>1.8653932248917648E-3</v>
      </c>
      <c r="N138" s="69">
        <v>19.7</v>
      </c>
      <c r="O138" s="60">
        <f t="shared" si="13"/>
        <v>5.8002148227711992E-2</v>
      </c>
    </row>
    <row r="139" spans="1:15" x14ac:dyDescent="0.3">
      <c r="A139" s="1">
        <v>45571</v>
      </c>
      <c r="B139" s="68">
        <v>19711.2</v>
      </c>
      <c r="C139" s="60">
        <f t="shared" si="10"/>
        <v>8.8286324064548172E-3</v>
      </c>
      <c r="E139" s="68">
        <v>305.04000000000002</v>
      </c>
      <c r="F139" s="60">
        <f t="shared" si="11"/>
        <v>4.2138530418751596E-3</v>
      </c>
      <c r="H139" s="69">
        <v>70.81</v>
      </c>
      <c r="I139" s="60">
        <f t="shared" si="14"/>
        <v>-1.323857302118181E-2</v>
      </c>
      <c r="K139" s="69">
        <v>134.02000000000001</v>
      </c>
      <c r="L139" s="60">
        <f t="shared" si="12"/>
        <v>-1.8671743428278376E-2</v>
      </c>
      <c r="N139" s="69">
        <v>18.62</v>
      </c>
      <c r="O139" s="60">
        <f t="shared" si="13"/>
        <v>5.6154282473057426E-2</v>
      </c>
    </row>
    <row r="140" spans="1:15" x14ac:dyDescent="0.3">
      <c r="A140" s="1">
        <v>45564</v>
      </c>
      <c r="B140" s="68">
        <v>19538.7</v>
      </c>
      <c r="C140" s="60">
        <f t="shared" si="10"/>
        <v>1.9229585871638477E-3</v>
      </c>
      <c r="E140" s="68">
        <v>303.76</v>
      </c>
      <c r="F140" s="60">
        <f t="shared" si="11"/>
        <v>2.304982054068816E-4</v>
      </c>
      <c r="H140" s="69">
        <v>71.760000000000005</v>
      </c>
      <c r="I140" s="60">
        <f t="shared" si="14"/>
        <v>6.7340067340067034E-3</v>
      </c>
      <c r="K140" s="69">
        <v>136.57</v>
      </c>
      <c r="L140" s="60">
        <f t="shared" si="12"/>
        <v>-2.3942252715837609E-2</v>
      </c>
      <c r="N140" s="69">
        <v>17.63</v>
      </c>
      <c r="O140" s="60">
        <f t="shared" si="13"/>
        <v>-8.993816750983652E-3</v>
      </c>
    </row>
    <row r="141" spans="1:15" x14ac:dyDescent="0.3">
      <c r="A141" s="1">
        <v>45557</v>
      </c>
      <c r="B141" s="68">
        <v>19501.2</v>
      </c>
      <c r="C141" s="60">
        <f t="shared" si="10"/>
        <v>6.5810867309805676E-3</v>
      </c>
      <c r="E141" s="68">
        <v>303.69</v>
      </c>
      <c r="F141" s="60">
        <f t="shared" si="11"/>
        <v>2.3110871542633804E-2</v>
      </c>
      <c r="H141" s="69">
        <v>71.28</v>
      </c>
      <c r="I141" s="60">
        <f t="shared" si="14"/>
        <v>1.4228799089356814E-2</v>
      </c>
      <c r="K141" s="69">
        <v>139.91999999999999</v>
      </c>
      <c r="L141" s="60">
        <f t="shared" si="12"/>
        <v>7.8714054429110947E-2</v>
      </c>
      <c r="N141" s="69">
        <v>17.79</v>
      </c>
      <c r="O141" s="60">
        <f t="shared" si="13"/>
        <v>2.006880733944949E-2</v>
      </c>
    </row>
    <row r="142" spans="1:15" x14ac:dyDescent="0.3">
      <c r="A142" s="1">
        <v>45550</v>
      </c>
      <c r="B142" s="68">
        <v>19373.7</v>
      </c>
      <c r="C142" s="60">
        <f t="shared" si="10"/>
        <v>1.3189341840336821E-2</v>
      </c>
      <c r="E142" s="68">
        <v>296.83</v>
      </c>
      <c r="F142" s="60">
        <f t="shared" si="11"/>
        <v>1.0117020200317572E-3</v>
      </c>
      <c r="H142" s="69">
        <v>70.28</v>
      </c>
      <c r="I142" s="60">
        <f t="shared" si="14"/>
        <v>1.5900549291702815E-2</v>
      </c>
      <c r="K142" s="69">
        <v>129.71</v>
      </c>
      <c r="L142" s="60">
        <f t="shared" si="12"/>
        <v>-2.9479985035540612E-2</v>
      </c>
      <c r="N142" s="69">
        <v>17.440000000000001</v>
      </c>
      <c r="O142" s="60">
        <f t="shared" si="13"/>
        <v>-7.3989755264655122E-3</v>
      </c>
    </row>
    <row r="143" spans="1:15" x14ac:dyDescent="0.3">
      <c r="A143" s="1">
        <v>45543</v>
      </c>
      <c r="B143" s="68">
        <v>19121.5</v>
      </c>
      <c r="C143" s="60">
        <f t="shared" si="10"/>
        <v>2.4561835922220832E-2</v>
      </c>
      <c r="E143" s="68">
        <v>296.52999999999997</v>
      </c>
      <c r="F143" s="60">
        <f t="shared" si="11"/>
        <v>2.424786708576554E-2</v>
      </c>
      <c r="H143" s="69">
        <v>69.180000000000007</v>
      </c>
      <c r="I143" s="60">
        <f t="shared" si="14"/>
        <v>2.2918823007541222E-2</v>
      </c>
      <c r="K143" s="69">
        <v>133.65</v>
      </c>
      <c r="L143" s="60">
        <f t="shared" si="12"/>
        <v>-1.6433853738702098E-3</v>
      </c>
      <c r="N143" s="69">
        <v>17.57</v>
      </c>
      <c r="O143" s="60">
        <f t="shared" si="13"/>
        <v>3.4137728075338547E-2</v>
      </c>
    </row>
    <row r="144" spans="1:15" x14ac:dyDescent="0.3">
      <c r="A144" s="1">
        <v>45536</v>
      </c>
      <c r="B144" s="68">
        <v>18663.099999999999</v>
      </c>
      <c r="C144" s="60">
        <f t="shared" si="10"/>
        <v>-3.2609033702740042E-2</v>
      </c>
      <c r="E144" s="68">
        <v>289.51</v>
      </c>
      <c r="F144" s="60">
        <f t="shared" si="11"/>
        <v>2.9446407538278319E-3</v>
      </c>
      <c r="H144" s="69">
        <v>67.63</v>
      </c>
      <c r="I144" s="60">
        <f t="shared" si="14"/>
        <v>-2.6626367299942499E-2</v>
      </c>
      <c r="K144" s="69">
        <v>133.87</v>
      </c>
      <c r="L144" s="60">
        <f t="shared" si="12"/>
        <v>-7.7823895641860874E-3</v>
      </c>
      <c r="N144" s="69">
        <v>16.989999999999998</v>
      </c>
      <c r="O144" s="60">
        <f t="shared" si="13"/>
        <v>4.137115839243366E-3</v>
      </c>
    </row>
    <row r="145" spans="1:15" x14ac:dyDescent="0.3">
      <c r="A145" s="1">
        <v>45529</v>
      </c>
      <c r="B145" s="68">
        <v>19292.2</v>
      </c>
      <c r="C145" s="60">
        <f t="shared" si="10"/>
        <v>1.0406682902558417E-2</v>
      </c>
      <c r="E145" s="68">
        <v>288.66000000000003</v>
      </c>
      <c r="F145" s="60">
        <f t="shared" si="11"/>
        <v>-2.9704338214975312E-3</v>
      </c>
      <c r="H145" s="69">
        <v>69.48</v>
      </c>
      <c r="I145" s="60">
        <f t="shared" si="14"/>
        <v>-1.2507106310403526E-2</v>
      </c>
      <c r="K145" s="69">
        <v>134.91999999999999</v>
      </c>
      <c r="L145" s="60">
        <f t="shared" si="12"/>
        <v>-4.4273907910272747E-3</v>
      </c>
      <c r="N145" s="69">
        <v>16.920000000000002</v>
      </c>
      <c r="O145" s="60">
        <f t="shared" si="13"/>
        <v>1.1834319526629056E-3</v>
      </c>
    </row>
    <row r="146" spans="1:15" x14ac:dyDescent="0.3">
      <c r="A146" s="1">
        <v>45522</v>
      </c>
      <c r="B146" s="68">
        <v>19093.5</v>
      </c>
      <c r="C146" s="60">
        <f t="shared" si="10"/>
        <v>1.8113662297774447E-2</v>
      </c>
      <c r="E146" s="68">
        <v>289.52</v>
      </c>
      <c r="F146" s="60">
        <f t="shared" si="11"/>
        <v>3.9606449064598204E-2</v>
      </c>
      <c r="H146" s="69">
        <v>70.36</v>
      </c>
      <c r="I146" s="60">
        <f t="shared" si="14"/>
        <v>-6.355034599632825E-3</v>
      </c>
      <c r="K146" s="69">
        <v>135.52000000000001</v>
      </c>
      <c r="L146" s="60">
        <f t="shared" si="12"/>
        <v>-1.3682678311499274E-2</v>
      </c>
      <c r="N146" s="69">
        <v>16.899999999999999</v>
      </c>
      <c r="O146" s="60">
        <f t="shared" si="13"/>
        <v>-1.7720023626698334E-3</v>
      </c>
    </row>
    <row r="147" spans="1:15" x14ac:dyDescent="0.3">
      <c r="A147" s="1">
        <v>45515</v>
      </c>
      <c r="B147" s="68">
        <v>18753.8</v>
      </c>
      <c r="C147" s="60">
        <f t="shared" si="10"/>
        <v>2.6637908382237008E-2</v>
      </c>
      <c r="E147" s="68">
        <v>278.49</v>
      </c>
      <c r="F147" s="60">
        <f t="shared" si="11"/>
        <v>3.9490873800903215E-2</v>
      </c>
      <c r="H147" s="69">
        <v>70.81</v>
      </c>
      <c r="I147" s="60">
        <f t="shared" si="14"/>
        <v>4.2547156431711475E-3</v>
      </c>
      <c r="K147" s="69">
        <v>137.4</v>
      </c>
      <c r="L147" s="60">
        <f t="shared" si="12"/>
        <v>4.4593903063090412E-3</v>
      </c>
      <c r="N147" s="69">
        <v>16.93</v>
      </c>
      <c r="O147" s="60">
        <f t="shared" si="13"/>
        <v>-1.1098130841121545E-2</v>
      </c>
    </row>
    <row r="148" spans="1:15" x14ac:dyDescent="0.3">
      <c r="A148" s="1">
        <v>45508</v>
      </c>
      <c r="B148" s="68">
        <v>18267.2</v>
      </c>
      <c r="C148" s="60">
        <f t="shared" si="10"/>
        <v>5.7757002141800573E-3</v>
      </c>
      <c r="E148" s="68">
        <v>267.91000000000003</v>
      </c>
      <c r="F148" s="60">
        <f t="shared" si="11"/>
        <v>-3.1732263544038353E-2</v>
      </c>
      <c r="H148" s="69">
        <v>70.510000000000005</v>
      </c>
      <c r="I148" s="60">
        <f t="shared" si="14"/>
        <v>4.98859749144831E-3</v>
      </c>
      <c r="K148" s="69">
        <v>136.79</v>
      </c>
      <c r="L148" s="60">
        <f t="shared" si="12"/>
        <v>1.1910045864772734E-2</v>
      </c>
      <c r="N148" s="69">
        <v>17.12</v>
      </c>
      <c r="O148" s="60">
        <f t="shared" si="13"/>
        <v>1.4218009478673022E-2</v>
      </c>
    </row>
    <row r="149" spans="1:15" x14ac:dyDescent="0.3">
      <c r="A149" s="1">
        <v>45501</v>
      </c>
      <c r="B149" s="68">
        <v>18162.3</v>
      </c>
      <c r="C149" s="60">
        <f t="shared" si="10"/>
        <v>-2.1665005790621916E-2</v>
      </c>
      <c r="E149" s="68">
        <v>276.69</v>
      </c>
      <c r="F149" s="60">
        <f t="shared" si="11"/>
        <v>9.7976190476190439E-2</v>
      </c>
      <c r="H149" s="69">
        <v>70.16</v>
      </c>
      <c r="I149" s="60">
        <f t="shared" si="14"/>
        <v>3.2068255369226195E-2</v>
      </c>
      <c r="K149" s="69">
        <v>135.18</v>
      </c>
      <c r="L149" s="60">
        <f t="shared" si="12"/>
        <v>5.5681374463100397E-2</v>
      </c>
      <c r="N149" s="69">
        <v>16.88</v>
      </c>
      <c r="O149" s="60">
        <f t="shared" si="13"/>
        <v>5.3603335318641587E-3</v>
      </c>
    </row>
    <row r="150" spans="1:15" x14ac:dyDescent="0.3">
      <c r="A150" s="1">
        <v>45494</v>
      </c>
      <c r="B150" s="68">
        <v>18564.5</v>
      </c>
      <c r="C150" s="60">
        <f t="shared" si="10"/>
        <v>8.6058426282591416E-3</v>
      </c>
      <c r="E150" s="68">
        <v>252</v>
      </c>
      <c r="F150" s="60">
        <f t="shared" si="11"/>
        <v>-2.0522388059701413E-2</v>
      </c>
      <c r="H150" s="69">
        <v>67.98</v>
      </c>
      <c r="I150" s="60">
        <f t="shared" si="14"/>
        <v>-6.5438548254055373E-2</v>
      </c>
      <c r="K150" s="69">
        <v>128.05000000000001</v>
      </c>
      <c r="L150" s="60">
        <f t="shared" si="12"/>
        <v>8.8237611281809514E-3</v>
      </c>
      <c r="N150" s="69">
        <v>16.79</v>
      </c>
      <c r="O150" s="60">
        <f t="shared" si="13"/>
        <v>-4.8725212464589163E-2</v>
      </c>
    </row>
    <row r="151" spans="1:15" x14ac:dyDescent="0.3">
      <c r="A151" s="1">
        <v>45487</v>
      </c>
      <c r="B151" s="68">
        <v>18406.099999999999</v>
      </c>
      <c r="C151" s="60">
        <f t="shared" si="10"/>
        <v>-5.3928747048239689E-3</v>
      </c>
      <c r="E151" s="68">
        <v>257.27999999999997</v>
      </c>
      <c r="F151" s="60">
        <f t="shared" si="11"/>
        <v>1.3312327688066006E-2</v>
      </c>
      <c r="H151" s="69">
        <v>72.739999999999995</v>
      </c>
      <c r="I151" s="60">
        <f t="shared" si="14"/>
        <v>-2.605237899355739E-3</v>
      </c>
      <c r="K151" s="69">
        <v>126.93</v>
      </c>
      <c r="L151" s="60">
        <f t="shared" si="12"/>
        <v>-3.3356180031985372E-2</v>
      </c>
      <c r="N151" s="69">
        <v>17.649999999999999</v>
      </c>
      <c r="O151" s="60">
        <f t="shared" si="13"/>
        <v>5.6886227544910239E-2</v>
      </c>
    </row>
    <row r="152" spans="1:15" x14ac:dyDescent="0.3">
      <c r="A152" s="1">
        <v>45480</v>
      </c>
      <c r="B152" s="68">
        <v>18505.900000000001</v>
      </c>
      <c r="C152" s="60">
        <f t="shared" si="10"/>
        <v>2.248755449226203E-2</v>
      </c>
      <c r="E152" s="68">
        <v>253.9</v>
      </c>
      <c r="F152" s="60">
        <f t="shared" si="11"/>
        <v>1.1191206340356086E-2</v>
      </c>
      <c r="H152" s="69">
        <v>72.930000000000007</v>
      </c>
      <c r="I152" s="60">
        <f t="shared" si="14"/>
        <v>4.769429679643733E-2</v>
      </c>
      <c r="K152" s="69">
        <v>131.31</v>
      </c>
      <c r="L152" s="60">
        <f t="shared" si="12"/>
        <v>1.6960966542750811E-2</v>
      </c>
      <c r="N152" s="69">
        <v>16.7</v>
      </c>
      <c r="O152" s="60">
        <f t="shared" si="13"/>
        <v>2.7060270602705883E-2</v>
      </c>
    </row>
    <row r="153" spans="1:15" x14ac:dyDescent="0.3">
      <c r="A153" s="1">
        <v>45473</v>
      </c>
      <c r="B153" s="68">
        <v>18098.900000000001</v>
      </c>
      <c r="C153" s="60">
        <f t="shared" si="10"/>
        <v>4.0163093223866131E-3</v>
      </c>
      <c r="E153" s="68">
        <v>251.09</v>
      </c>
      <c r="F153" s="60">
        <f t="shared" si="11"/>
        <v>-1.4715115366504494E-2</v>
      </c>
      <c r="H153" s="69">
        <v>69.61</v>
      </c>
      <c r="I153" s="60">
        <f t="shared" si="14"/>
        <v>-1.0800056842404482E-2</v>
      </c>
      <c r="K153" s="69">
        <v>129.12</v>
      </c>
      <c r="L153" s="60">
        <f t="shared" si="12"/>
        <v>-2.5215159293371592E-2</v>
      </c>
      <c r="N153" s="69">
        <v>16.260000000000002</v>
      </c>
      <c r="O153" s="60">
        <f t="shared" si="13"/>
        <v>-4.1273584905660354E-2</v>
      </c>
    </row>
    <row r="154" spans="1:15" x14ac:dyDescent="0.3">
      <c r="A154" s="1">
        <v>45466</v>
      </c>
      <c r="B154" s="68">
        <v>18026.5</v>
      </c>
      <c r="C154" s="60">
        <f t="shared" si="10"/>
        <v>1.7115199742159248E-3</v>
      </c>
      <c r="E154" s="68">
        <v>254.84</v>
      </c>
      <c r="F154" s="60">
        <f t="shared" si="11"/>
        <v>-1.7541154246501378E-2</v>
      </c>
      <c r="H154" s="69">
        <v>70.37</v>
      </c>
      <c r="I154" s="60">
        <f t="shared" si="14"/>
        <v>1.6320046216060202E-2</v>
      </c>
      <c r="K154" s="69">
        <v>132.46</v>
      </c>
      <c r="L154" s="60">
        <f t="shared" si="12"/>
        <v>-1.3627224663042559E-2</v>
      </c>
      <c r="N154" s="69">
        <v>16.96</v>
      </c>
      <c r="O154" s="60">
        <f t="shared" si="13"/>
        <v>1.739652069586084E-2</v>
      </c>
    </row>
    <row r="155" spans="1:15" x14ac:dyDescent="0.3">
      <c r="A155" s="1">
        <v>45459</v>
      </c>
      <c r="B155" s="68">
        <v>17995.7</v>
      </c>
      <c r="C155" s="60">
        <f t="shared" si="10"/>
        <v>1.0012740426439626E-2</v>
      </c>
      <c r="E155" s="68">
        <v>259.39</v>
      </c>
      <c r="F155" s="60">
        <f t="shared" si="11"/>
        <v>2.2911901569524273E-2</v>
      </c>
      <c r="H155" s="69">
        <v>69.239999999999995</v>
      </c>
      <c r="I155" s="60">
        <f t="shared" si="14"/>
        <v>4.934687953555672E-3</v>
      </c>
      <c r="K155" s="69">
        <v>134.29</v>
      </c>
      <c r="L155" s="60">
        <f t="shared" si="12"/>
        <v>-1.827618977995471E-2</v>
      </c>
      <c r="N155" s="69">
        <v>16.670000000000002</v>
      </c>
      <c r="O155" s="60">
        <f t="shared" si="13"/>
        <v>-5.9952038369293081E-4</v>
      </c>
    </row>
    <row r="156" spans="1:15" x14ac:dyDescent="0.3">
      <c r="A156" s="1">
        <v>45452</v>
      </c>
      <c r="B156" s="68">
        <v>17817.3</v>
      </c>
      <c r="C156" s="60">
        <f t="shared" si="10"/>
        <v>-9.3574859887910478E-3</v>
      </c>
      <c r="E156" s="68">
        <v>253.58</v>
      </c>
      <c r="F156" s="60">
        <f t="shared" si="11"/>
        <v>-1.0265016978259878E-2</v>
      </c>
      <c r="H156" s="69">
        <v>68.900000000000006</v>
      </c>
      <c r="I156" s="60">
        <f t="shared" si="14"/>
        <v>1.7446932247746627E-3</v>
      </c>
      <c r="K156" s="69">
        <v>136.79</v>
      </c>
      <c r="L156" s="60">
        <f t="shared" si="12"/>
        <v>-2.2719154104451023E-2</v>
      </c>
      <c r="N156" s="69">
        <v>16.68</v>
      </c>
      <c r="O156" s="60">
        <f t="shared" si="13"/>
        <v>5.9988002399502527E-4</v>
      </c>
    </row>
    <row r="157" spans="1:15" x14ac:dyDescent="0.3">
      <c r="A157" s="1">
        <v>45445</v>
      </c>
      <c r="B157" s="68">
        <v>17985.599999999999</v>
      </c>
      <c r="C157" s="60">
        <f t="shared" si="10"/>
        <v>-5.4247747971931659E-3</v>
      </c>
      <c r="E157" s="68">
        <v>256.20999999999998</v>
      </c>
      <c r="F157" s="60">
        <f t="shared" si="11"/>
        <v>-1.0351886901773022E-2</v>
      </c>
      <c r="H157" s="69">
        <v>68.78</v>
      </c>
      <c r="I157" s="60">
        <f t="shared" si="14"/>
        <v>2.9163021289007052E-3</v>
      </c>
      <c r="K157" s="69">
        <v>139.97</v>
      </c>
      <c r="L157" s="60">
        <f t="shared" si="12"/>
        <v>1.8482136360328916E-2</v>
      </c>
      <c r="N157" s="69">
        <v>16.670000000000002</v>
      </c>
      <c r="O157" s="60">
        <f t="shared" si="13"/>
        <v>-4.4699140401145976E-2</v>
      </c>
    </row>
    <row r="158" spans="1:15" x14ac:dyDescent="0.3">
      <c r="A158" s="1">
        <v>45438</v>
      </c>
      <c r="B158" s="68">
        <v>18083.7</v>
      </c>
      <c r="C158" s="60">
        <f t="shared" si="10"/>
        <v>-1.4853179905689462E-3</v>
      </c>
      <c r="E158" s="68">
        <v>258.89</v>
      </c>
      <c r="F158" s="60">
        <f t="shared" si="11"/>
        <v>3.0219673782494461E-3</v>
      </c>
      <c r="H158" s="69">
        <v>68.58</v>
      </c>
      <c r="I158" s="60">
        <f t="shared" si="14"/>
        <v>1.5548645046645992E-2</v>
      </c>
      <c r="K158" s="69">
        <v>137.43</v>
      </c>
      <c r="L158" s="60">
        <f t="shared" si="12"/>
        <v>-1.59825644751177E-3</v>
      </c>
      <c r="N158" s="69">
        <v>17.45</v>
      </c>
      <c r="O158" s="60">
        <f t="shared" si="13"/>
        <v>-1.8007878446820502E-2</v>
      </c>
    </row>
    <row r="159" spans="1:15" x14ac:dyDescent="0.3">
      <c r="A159" s="1">
        <v>45431</v>
      </c>
      <c r="B159" s="68">
        <v>18110.599999999999</v>
      </c>
      <c r="C159" s="60">
        <f t="shared" si="10"/>
        <v>-1.5101994202835534E-2</v>
      </c>
      <c r="E159" s="68">
        <v>258.11</v>
      </c>
      <c r="F159" s="60">
        <f t="shared" si="11"/>
        <v>-5.2390043321829727E-2</v>
      </c>
      <c r="H159" s="69">
        <v>67.53</v>
      </c>
      <c r="I159" s="60">
        <f t="shared" si="14"/>
        <v>-4.6994072819644295E-2</v>
      </c>
      <c r="K159" s="69">
        <v>137.65</v>
      </c>
      <c r="L159" s="60">
        <f t="shared" si="12"/>
        <v>-2.8307214457150898E-2</v>
      </c>
      <c r="N159" s="69">
        <v>17.77</v>
      </c>
      <c r="O159" s="60">
        <f t="shared" si="13"/>
        <v>-3.3713974986405715E-2</v>
      </c>
    </row>
    <row r="160" spans="1:15" x14ac:dyDescent="0.3">
      <c r="A160" s="1">
        <v>45424</v>
      </c>
      <c r="B160" s="68">
        <v>18388.3</v>
      </c>
      <c r="C160" s="60">
        <f t="shared" si="10"/>
        <v>1.2454506912746854E-2</v>
      </c>
      <c r="E160" s="68">
        <v>272.38</v>
      </c>
      <c r="F160" s="60">
        <f t="shared" si="11"/>
        <v>-9.5272727272727176E-3</v>
      </c>
      <c r="H160" s="69">
        <v>70.86</v>
      </c>
      <c r="I160" s="60">
        <f t="shared" si="14"/>
        <v>-3.2495903877662435E-2</v>
      </c>
      <c r="K160" s="69">
        <v>141.66</v>
      </c>
      <c r="L160" s="60">
        <f t="shared" si="12"/>
        <v>2.9356198227001862E-2</v>
      </c>
      <c r="N160" s="69">
        <v>18.39</v>
      </c>
      <c r="O160" s="60">
        <f t="shared" si="13"/>
        <v>-3.2105263157894748E-2</v>
      </c>
    </row>
    <row r="161" spans="1:15" x14ac:dyDescent="0.3">
      <c r="A161" s="1">
        <v>45417</v>
      </c>
      <c r="B161" s="68">
        <v>18162.099999999999</v>
      </c>
      <c r="C161" s="60">
        <f t="shared" si="10"/>
        <v>2.0463088341882818E-2</v>
      </c>
      <c r="E161" s="68">
        <v>275</v>
      </c>
      <c r="F161" s="60">
        <f t="shared" si="11"/>
        <v>1.731281444214261E-2</v>
      </c>
      <c r="H161" s="69">
        <v>73.239999999999995</v>
      </c>
      <c r="I161" s="60">
        <f t="shared" si="14"/>
        <v>-3.415534748780169E-2</v>
      </c>
      <c r="K161" s="69">
        <v>137.62</v>
      </c>
      <c r="L161" s="60">
        <f t="shared" si="12"/>
        <v>2.4415661753759199E-2</v>
      </c>
      <c r="N161" s="69">
        <v>19</v>
      </c>
      <c r="O161" s="60">
        <f t="shared" si="13"/>
        <v>-4.7141424272818533E-2</v>
      </c>
    </row>
    <row r="162" spans="1:15" x14ac:dyDescent="0.3">
      <c r="A162" s="1">
        <v>45410</v>
      </c>
      <c r="B162" s="68">
        <v>17797.900000000001</v>
      </c>
      <c r="C162" s="60">
        <f t="shared" si="10"/>
        <v>1.9478362691618401E-3</v>
      </c>
      <c r="E162" s="68">
        <v>270.32</v>
      </c>
      <c r="F162" s="60">
        <f t="shared" si="11"/>
        <v>-1.0143176242264351E-2</v>
      </c>
      <c r="H162" s="69">
        <v>75.83</v>
      </c>
      <c r="I162" s="60">
        <f t="shared" si="14"/>
        <v>2.7228393389325367E-2</v>
      </c>
      <c r="K162" s="69">
        <v>134.34</v>
      </c>
      <c r="L162" s="60">
        <f t="shared" si="12"/>
        <v>-5.2408831205473683E-2</v>
      </c>
      <c r="N162" s="69">
        <v>19.940000000000001</v>
      </c>
      <c r="O162" s="60">
        <f t="shared" si="13"/>
        <v>-9.930486593843102E-3</v>
      </c>
    </row>
    <row r="163" spans="1:15" x14ac:dyDescent="0.3">
      <c r="A163" s="1">
        <v>45403</v>
      </c>
      <c r="B163" s="68">
        <v>17763.3</v>
      </c>
      <c r="C163" s="60">
        <f t="shared" si="10"/>
        <v>1.7441061241322497E-2</v>
      </c>
      <c r="E163" s="68">
        <v>273.08999999999997</v>
      </c>
      <c r="F163" s="60">
        <f t="shared" si="11"/>
        <v>4.0442663333208895E-3</v>
      </c>
      <c r="H163" s="69">
        <v>73.819999999999993</v>
      </c>
      <c r="I163" s="60">
        <f t="shared" si="14"/>
        <v>3.3604032483897983E-2</v>
      </c>
      <c r="K163" s="69">
        <v>141.77000000000001</v>
      </c>
      <c r="L163" s="60">
        <f t="shared" si="12"/>
        <v>2.3610108303249167E-2</v>
      </c>
      <c r="N163" s="69">
        <v>20.14</v>
      </c>
      <c r="O163" s="60">
        <f t="shared" si="13"/>
        <v>4.6233766233766183E-2</v>
      </c>
    </row>
    <row r="164" spans="1:15" x14ac:dyDescent="0.3">
      <c r="A164" s="1">
        <v>45396</v>
      </c>
      <c r="B164" s="68">
        <v>17458.8</v>
      </c>
      <c r="C164" s="60">
        <f t="shared" si="10"/>
        <v>-1.0215998639378721E-2</v>
      </c>
      <c r="E164" s="68">
        <v>271.99</v>
      </c>
      <c r="F164" s="60">
        <f t="shared" si="11"/>
        <v>1.7203335951232468E-2</v>
      </c>
      <c r="H164" s="69">
        <v>71.42</v>
      </c>
      <c r="I164" s="60">
        <f t="shared" si="14"/>
        <v>2.1046723726674266E-3</v>
      </c>
      <c r="K164" s="69">
        <v>138.5</v>
      </c>
      <c r="L164" s="60">
        <f t="shared" si="12"/>
        <v>5.079825834542806E-3</v>
      </c>
      <c r="N164" s="69">
        <v>19.25</v>
      </c>
      <c r="O164" s="60">
        <f t="shared" si="13"/>
        <v>3.4946236559139754E-2</v>
      </c>
    </row>
    <row r="165" spans="1:15" x14ac:dyDescent="0.3">
      <c r="A165" s="1">
        <v>45389</v>
      </c>
      <c r="B165" s="68">
        <v>17639</v>
      </c>
      <c r="C165" s="60">
        <f t="shared" si="10"/>
        <v>-2.6668800317840358E-2</v>
      </c>
      <c r="E165" s="68">
        <v>267.39</v>
      </c>
      <c r="F165" s="60">
        <f t="shared" si="11"/>
        <v>2.6247703325958938E-3</v>
      </c>
      <c r="H165" s="69">
        <v>71.27</v>
      </c>
      <c r="I165" s="60">
        <f t="shared" si="14"/>
        <v>-4.3997317236753819E-2</v>
      </c>
      <c r="K165" s="69">
        <v>137.80000000000001</v>
      </c>
      <c r="L165" s="60">
        <f t="shared" si="12"/>
        <v>1.2490815576781999E-2</v>
      </c>
      <c r="N165" s="69">
        <v>18.600000000000001</v>
      </c>
      <c r="O165" s="60">
        <f t="shared" si="13"/>
        <v>8.6767895878525625E-3</v>
      </c>
    </row>
    <row r="166" spans="1:15" x14ac:dyDescent="0.3">
      <c r="A166" s="1">
        <v>45382</v>
      </c>
      <c r="B166" s="68">
        <v>18122.3</v>
      </c>
      <c r="C166" s="60">
        <f t="shared" si="10"/>
        <v>-1.0397156072015634E-2</v>
      </c>
      <c r="E166" s="68">
        <v>266.69</v>
      </c>
      <c r="F166" s="60">
        <f t="shared" si="11"/>
        <v>-5.4123071466572026E-2</v>
      </c>
      <c r="H166" s="69">
        <v>74.55</v>
      </c>
      <c r="I166" s="60">
        <f t="shared" si="14"/>
        <v>-6.1674008810572722E-2</v>
      </c>
      <c r="K166" s="69">
        <v>136.1</v>
      </c>
      <c r="L166" s="60">
        <f t="shared" si="12"/>
        <v>-1.8391633609808999E-2</v>
      </c>
      <c r="N166" s="69">
        <v>18.440000000000001</v>
      </c>
      <c r="O166" s="60">
        <f t="shared" si="13"/>
        <v>-2.123142250530774E-2</v>
      </c>
    </row>
    <row r="167" spans="1:15" x14ac:dyDescent="0.3">
      <c r="A167" s="1">
        <v>45375</v>
      </c>
      <c r="B167" s="68">
        <v>18312.7</v>
      </c>
      <c r="C167" s="60">
        <f t="shared" si="10"/>
        <v>1.1081051236749184E-2</v>
      </c>
      <c r="E167" s="68">
        <v>281.95</v>
      </c>
      <c r="F167" s="60">
        <f t="shared" si="11"/>
        <v>-2.4059724728443532E-3</v>
      </c>
      <c r="H167" s="69">
        <v>79.45</v>
      </c>
      <c r="I167" s="60">
        <f t="shared" si="14"/>
        <v>2.3971738581882729E-3</v>
      </c>
      <c r="K167" s="69">
        <v>138.65</v>
      </c>
      <c r="L167" s="60">
        <f t="shared" si="12"/>
        <v>1.776407546061809E-2</v>
      </c>
      <c r="N167" s="69">
        <v>18.84</v>
      </c>
      <c r="O167" s="60">
        <f t="shared" si="13"/>
        <v>1.4539579967689731E-2</v>
      </c>
    </row>
    <row r="168" spans="1:15" x14ac:dyDescent="0.3">
      <c r="A168" s="1">
        <v>45368</v>
      </c>
      <c r="B168" s="68">
        <v>18112</v>
      </c>
      <c r="C168" s="60">
        <f t="shared" si="10"/>
        <v>1.4785887573467216E-2</v>
      </c>
      <c r="E168" s="68">
        <v>282.63</v>
      </c>
      <c r="F168" s="60">
        <f t="shared" si="11"/>
        <v>1.2502686823816056E-2</v>
      </c>
      <c r="H168" s="69">
        <v>79.260000000000005</v>
      </c>
      <c r="I168" s="60">
        <f t="shared" si="14"/>
        <v>3.1641564358941832E-3</v>
      </c>
      <c r="K168" s="69">
        <v>136.22999999999999</v>
      </c>
      <c r="L168" s="60">
        <f t="shared" si="12"/>
        <v>-4.4577608886291475E-3</v>
      </c>
      <c r="N168" s="69">
        <v>18.57</v>
      </c>
      <c r="O168" s="60">
        <f t="shared" si="13"/>
        <v>1.309328968903456E-2</v>
      </c>
    </row>
    <row r="169" spans="1:15" x14ac:dyDescent="0.3">
      <c r="A169" s="1">
        <v>45361</v>
      </c>
      <c r="B169" s="68">
        <v>17848.099999999999</v>
      </c>
      <c r="C169" s="60">
        <f t="shared" si="10"/>
        <v>-2.319783561398836E-3</v>
      </c>
      <c r="E169" s="68">
        <v>279.14</v>
      </c>
      <c r="F169" s="60">
        <f t="shared" si="11"/>
        <v>-4.5838318236198994E-2</v>
      </c>
      <c r="H169" s="69">
        <v>79.010000000000005</v>
      </c>
      <c r="I169" s="60">
        <f t="shared" si="14"/>
        <v>-8.6574654956085295E-3</v>
      </c>
      <c r="K169" s="69">
        <v>136.84</v>
      </c>
      <c r="L169" s="60">
        <f t="shared" si="12"/>
        <v>-1.9489825164803687E-2</v>
      </c>
      <c r="N169" s="69">
        <v>18.329999999999998</v>
      </c>
      <c r="O169" s="60">
        <f t="shared" si="13"/>
        <v>-4.8859934853422438E-3</v>
      </c>
    </row>
    <row r="170" spans="1:15" x14ac:dyDescent="0.3">
      <c r="A170" s="1">
        <v>45354</v>
      </c>
      <c r="B170" s="68">
        <v>17889.599999999999</v>
      </c>
      <c r="C170" s="60">
        <f t="shared" si="10"/>
        <v>9.0984471156285718E-3</v>
      </c>
      <c r="E170" s="68">
        <v>292.55</v>
      </c>
      <c r="F170" s="60">
        <f t="shared" si="11"/>
        <v>6.2601038764489303E-3</v>
      </c>
      <c r="H170" s="69">
        <v>79.7</v>
      </c>
      <c r="I170" s="60">
        <f t="shared" si="14"/>
        <v>2.5608029854587766E-2</v>
      </c>
      <c r="K170" s="69">
        <v>139.56</v>
      </c>
      <c r="L170" s="60">
        <f t="shared" si="12"/>
        <v>1.5572696841799072E-2</v>
      </c>
      <c r="N170" s="69">
        <v>18.420000000000002</v>
      </c>
      <c r="O170" s="60">
        <f t="shared" si="13"/>
        <v>2.2197558268590489E-2</v>
      </c>
    </row>
    <row r="171" spans="1:15" x14ac:dyDescent="0.3">
      <c r="A171" s="1">
        <v>45347</v>
      </c>
      <c r="B171" s="68">
        <v>17728.3</v>
      </c>
      <c r="C171" s="60">
        <f t="shared" si="10"/>
        <v>6.3748864668482508E-3</v>
      </c>
      <c r="E171" s="68">
        <v>290.73</v>
      </c>
      <c r="F171" s="60">
        <f t="shared" si="11"/>
        <v>-2.3576826196473499E-2</v>
      </c>
      <c r="H171" s="69">
        <v>77.709999999999994</v>
      </c>
      <c r="I171" s="60">
        <f t="shared" si="14"/>
        <v>2.0753973466439035E-2</v>
      </c>
      <c r="K171" s="69">
        <v>137.41999999999999</v>
      </c>
      <c r="L171" s="60">
        <f t="shared" si="12"/>
        <v>-6.5066512434933665E-3</v>
      </c>
      <c r="N171" s="69">
        <v>18.02</v>
      </c>
      <c r="O171" s="60">
        <f t="shared" si="13"/>
        <v>-1.4762165117550574E-2</v>
      </c>
    </row>
    <row r="172" spans="1:15" x14ac:dyDescent="0.3">
      <c r="A172" s="1">
        <v>45340</v>
      </c>
      <c r="B172" s="68">
        <v>17616</v>
      </c>
      <c r="C172" s="60">
        <f t="shared" si="10"/>
        <v>1.1872964450035273E-2</v>
      </c>
      <c r="E172" s="68">
        <v>297.75</v>
      </c>
      <c r="F172" s="60">
        <f t="shared" si="11"/>
        <v>1.9621943702486266E-2</v>
      </c>
      <c r="H172" s="69">
        <v>76.13</v>
      </c>
      <c r="I172" s="60">
        <f t="shared" si="14"/>
        <v>-1.3732348749838086E-2</v>
      </c>
      <c r="K172" s="69">
        <v>138.32</v>
      </c>
      <c r="L172" s="60">
        <f t="shared" si="12"/>
        <v>2.8019323671497398E-2</v>
      </c>
      <c r="N172" s="69">
        <v>18.29</v>
      </c>
      <c r="O172" s="60">
        <f t="shared" si="13"/>
        <v>-7.596310363537695E-3</v>
      </c>
    </row>
    <row r="173" spans="1:15" x14ac:dyDescent="0.3">
      <c r="A173" s="1">
        <v>45333</v>
      </c>
      <c r="B173" s="68">
        <v>17409.3</v>
      </c>
      <c r="C173" s="60">
        <f t="shared" si="10"/>
        <v>7.7217395331066196E-3</v>
      </c>
      <c r="E173" s="68">
        <v>292.02</v>
      </c>
      <c r="F173" s="60">
        <f t="shared" si="11"/>
        <v>8.8092030262201249E-3</v>
      </c>
      <c r="H173" s="69">
        <v>77.19</v>
      </c>
      <c r="I173" s="60">
        <f t="shared" si="14"/>
        <v>2.2072189041808521E-3</v>
      </c>
      <c r="K173" s="69">
        <v>134.55000000000001</v>
      </c>
      <c r="L173" s="60">
        <f t="shared" si="12"/>
        <v>3.2854839947800807E-2</v>
      </c>
      <c r="N173" s="69">
        <v>18.43</v>
      </c>
      <c r="O173" s="60">
        <f t="shared" si="13"/>
        <v>-4.6066252587991796E-2</v>
      </c>
    </row>
    <row r="174" spans="1:15" x14ac:dyDescent="0.3">
      <c r="A174" s="1">
        <v>45326</v>
      </c>
      <c r="B174" s="68">
        <v>17275.900000000001</v>
      </c>
      <c r="C174" s="60">
        <f t="shared" si="10"/>
        <v>1.0168401356566603E-2</v>
      </c>
      <c r="E174" s="68">
        <v>289.47000000000003</v>
      </c>
      <c r="F174" s="60">
        <f t="shared" si="11"/>
        <v>-2.5517589631375182E-2</v>
      </c>
      <c r="H174" s="69">
        <v>77.02</v>
      </c>
      <c r="I174" s="60">
        <f t="shared" si="14"/>
        <v>-2.8874038582776484E-2</v>
      </c>
      <c r="K174" s="69">
        <v>130.27000000000001</v>
      </c>
      <c r="L174" s="60">
        <f t="shared" si="12"/>
        <v>1.1805825242718448E-2</v>
      </c>
      <c r="N174" s="69">
        <v>19.32</v>
      </c>
      <c r="O174" s="60">
        <f t="shared" si="13"/>
        <v>1.3109596224436304E-2</v>
      </c>
    </row>
    <row r="175" spans="1:15" x14ac:dyDescent="0.3">
      <c r="A175" s="1">
        <v>45319</v>
      </c>
      <c r="B175" s="68">
        <v>17102</v>
      </c>
      <c r="C175" s="60">
        <f t="shared" si="10"/>
        <v>9.0211279654968113E-3</v>
      </c>
      <c r="E175" s="68">
        <v>297.05</v>
      </c>
      <c r="F175" s="60">
        <f t="shared" si="11"/>
        <v>1.6389516184219577E-2</v>
      </c>
      <c r="H175" s="69">
        <v>79.31</v>
      </c>
      <c r="I175" s="60">
        <f t="shared" si="14"/>
        <v>3.1607700312174858E-2</v>
      </c>
      <c r="K175" s="69">
        <v>128.75</v>
      </c>
      <c r="L175" s="60">
        <f t="shared" si="12"/>
        <v>-2.6338213649391706E-3</v>
      </c>
      <c r="N175" s="69">
        <v>19.07</v>
      </c>
      <c r="O175" s="60">
        <f t="shared" si="13"/>
        <v>-5.7351407716370595E-3</v>
      </c>
    </row>
    <row r="176" spans="1:15" x14ac:dyDescent="0.3">
      <c r="A176" s="1">
        <v>45312</v>
      </c>
      <c r="B176" s="68">
        <v>16949.099999999999</v>
      </c>
      <c r="C176" s="60">
        <f t="shared" si="10"/>
        <v>1.3126513045817134E-2</v>
      </c>
      <c r="E176" s="68">
        <v>292.26</v>
      </c>
      <c r="F176" s="60">
        <f t="shared" si="11"/>
        <v>-2.7518051442451563E-2</v>
      </c>
      <c r="H176" s="69">
        <v>76.88</v>
      </c>
      <c r="I176" s="60">
        <f t="shared" si="14"/>
        <v>0</v>
      </c>
      <c r="K176" s="69">
        <v>129.09</v>
      </c>
      <c r="L176" s="60">
        <f t="shared" si="12"/>
        <v>-2.4263038548752891E-2</v>
      </c>
      <c r="N176" s="69">
        <v>19.18</v>
      </c>
      <c r="O176" s="60">
        <f t="shared" si="13"/>
        <v>-5.2110474205324664E-4</v>
      </c>
    </row>
    <row r="177" spans="1:15" x14ac:dyDescent="0.3">
      <c r="A177" s="1">
        <v>45305</v>
      </c>
      <c r="B177" s="68">
        <v>16729.5</v>
      </c>
      <c r="C177" s="60">
        <f t="shared" si="10"/>
        <v>-4.172718398056996E-3</v>
      </c>
      <c r="E177" s="68">
        <v>300.52999999999997</v>
      </c>
      <c r="F177" s="60">
        <f t="shared" si="11"/>
        <v>2.4056973455548913E-2</v>
      </c>
      <c r="H177" s="69">
        <v>76.88</v>
      </c>
      <c r="I177" s="60">
        <f t="shared" si="14"/>
        <v>-2.0012746972594142E-2</v>
      </c>
      <c r="K177" s="69">
        <v>132.30000000000001</v>
      </c>
      <c r="L177" s="60">
        <f t="shared" si="12"/>
        <v>2.4548904205064837E-2</v>
      </c>
      <c r="N177" s="69">
        <v>19.190000000000001</v>
      </c>
      <c r="O177" s="60">
        <f t="shared" si="13"/>
        <v>-1.4381099126861696E-2</v>
      </c>
    </row>
    <row r="178" spans="1:15" x14ac:dyDescent="0.3">
      <c r="A178" s="1">
        <v>45298</v>
      </c>
      <c r="B178" s="68">
        <v>16799.599999999999</v>
      </c>
      <c r="C178" s="60">
        <f t="shared" ref="C178:C241" si="15">B178/B179-1</f>
        <v>2.4704323853395049E-3</v>
      </c>
      <c r="E178" s="68">
        <v>293.47000000000003</v>
      </c>
      <c r="F178" s="60">
        <f t="shared" ref="F178:F241" si="16">E178/E179-1</f>
        <v>1.5502266514412222E-2</v>
      </c>
      <c r="H178" s="69">
        <v>78.45</v>
      </c>
      <c r="I178" s="60">
        <f t="shared" si="14"/>
        <v>2.6429412534345165E-2</v>
      </c>
      <c r="K178" s="69">
        <v>129.13</v>
      </c>
      <c r="L178" s="60">
        <f t="shared" ref="L178:L241" si="17">K178/K179-1</f>
        <v>6.1555243883433253E-3</v>
      </c>
      <c r="N178" s="69">
        <v>19.47</v>
      </c>
      <c r="O178" s="60">
        <f t="shared" ref="O178:O241" si="18">N178/N179-1</f>
        <v>2.5276461295418606E-2</v>
      </c>
    </row>
    <row r="179" spans="1:15" x14ac:dyDescent="0.3">
      <c r="A179" s="1">
        <v>45291</v>
      </c>
      <c r="B179" s="68">
        <v>16758.2</v>
      </c>
      <c r="C179" s="60">
        <f t="shared" si="15"/>
        <v>-5.6192109369901377E-3</v>
      </c>
      <c r="E179" s="68">
        <v>288.99</v>
      </c>
      <c r="F179" s="60">
        <f t="shared" si="16"/>
        <v>-2.5361707868200023E-2</v>
      </c>
      <c r="H179" s="69">
        <v>76.430000000000007</v>
      </c>
      <c r="I179" s="60">
        <f t="shared" si="14"/>
        <v>-2.1758607449123057E-2</v>
      </c>
      <c r="K179" s="69">
        <v>128.34</v>
      </c>
      <c r="L179" s="60">
        <f t="shared" si="17"/>
        <v>-1.7756007959589759E-2</v>
      </c>
      <c r="N179" s="69">
        <v>18.989999999999998</v>
      </c>
      <c r="O179" s="60">
        <f t="shared" si="18"/>
        <v>-2.5154004106776262E-2</v>
      </c>
    </row>
    <row r="180" spans="1:15" x14ac:dyDescent="0.3">
      <c r="A180" s="1">
        <v>45284</v>
      </c>
      <c r="B180" s="68">
        <v>16852.900000000001</v>
      </c>
      <c r="C180" s="60">
        <f t="shared" si="15"/>
        <v>4.913389582898553E-3</v>
      </c>
      <c r="E180" s="68">
        <v>296.51</v>
      </c>
      <c r="F180" s="60">
        <f t="shared" si="16"/>
        <v>1.6489544052108229E-2</v>
      </c>
      <c r="H180" s="69">
        <v>78.13</v>
      </c>
      <c r="I180" s="60">
        <f t="shared" si="14"/>
        <v>9.170756910358957E-3</v>
      </c>
      <c r="K180" s="69">
        <v>130.66</v>
      </c>
      <c r="L180" s="60">
        <f t="shared" si="17"/>
        <v>5.076923076922979E-3</v>
      </c>
      <c r="N180" s="69">
        <v>19.48</v>
      </c>
      <c r="O180" s="60">
        <f t="shared" si="18"/>
        <v>-1.5664477008590083E-2</v>
      </c>
    </row>
    <row r="181" spans="1:15" x14ac:dyDescent="0.3">
      <c r="A181" s="1">
        <v>45277</v>
      </c>
      <c r="B181" s="68">
        <v>16770.5</v>
      </c>
      <c r="C181" s="60">
        <f t="shared" si="15"/>
        <v>9.6750111380028425E-3</v>
      </c>
      <c r="E181" s="68">
        <v>291.7</v>
      </c>
      <c r="F181" s="60">
        <f t="shared" si="16"/>
        <v>1.5421032478156516E-2</v>
      </c>
      <c r="H181" s="69">
        <v>77.42</v>
      </c>
      <c r="I181" s="60">
        <f t="shared" si="14"/>
        <v>5.0332383665717018E-2</v>
      </c>
      <c r="K181" s="69">
        <v>130</v>
      </c>
      <c r="L181" s="60">
        <f t="shared" si="17"/>
        <v>1.0572139303482775E-2</v>
      </c>
      <c r="N181" s="69">
        <v>19.79</v>
      </c>
      <c r="O181" s="60">
        <f t="shared" si="18"/>
        <v>-7.0245860511791713E-3</v>
      </c>
    </row>
    <row r="182" spans="1:15" x14ac:dyDescent="0.3">
      <c r="A182" s="1">
        <v>45270</v>
      </c>
      <c r="B182" s="68">
        <v>16609.8</v>
      </c>
      <c r="C182" s="60">
        <f t="shared" si="15"/>
        <v>2.4802872690926625E-2</v>
      </c>
      <c r="E182" s="68">
        <v>287.27</v>
      </c>
      <c r="F182" s="60">
        <f t="shared" si="16"/>
        <v>6.0939305852274472E-3</v>
      </c>
      <c r="H182" s="69">
        <v>73.709999999999994</v>
      </c>
      <c r="I182" s="60">
        <f t="shared" si="14"/>
        <v>2.5031289111389299E-2</v>
      </c>
      <c r="K182" s="69">
        <v>128.63999999999999</v>
      </c>
      <c r="L182" s="60">
        <f t="shared" si="17"/>
        <v>3.4582596107447294E-2</v>
      </c>
      <c r="N182" s="69">
        <v>19.93</v>
      </c>
      <c r="O182" s="60">
        <f t="shared" si="18"/>
        <v>4.1819132253005709E-2</v>
      </c>
    </row>
    <row r="183" spans="1:15" x14ac:dyDescent="0.3">
      <c r="A183" s="1">
        <v>45263</v>
      </c>
      <c r="B183" s="68">
        <v>16207.8</v>
      </c>
      <c r="C183" s="60">
        <f t="shared" si="15"/>
        <v>-3.4432297495050612E-3</v>
      </c>
      <c r="E183" s="68">
        <v>285.52999999999997</v>
      </c>
      <c r="F183" s="60">
        <f t="shared" si="16"/>
        <v>-1.5037068121416253E-3</v>
      </c>
      <c r="H183" s="69">
        <v>71.91</v>
      </c>
      <c r="I183" s="60">
        <f t="shared" ref="I183:I246" si="19">H183/H184-1</f>
        <v>-9.5041322314048937E-3</v>
      </c>
      <c r="K183" s="69">
        <v>124.34</v>
      </c>
      <c r="L183" s="60">
        <f t="shared" si="17"/>
        <v>-2.3482290112306514E-2</v>
      </c>
      <c r="N183" s="69">
        <v>19.13</v>
      </c>
      <c r="O183" s="60">
        <f t="shared" si="18"/>
        <v>-2.0982599795291712E-2</v>
      </c>
    </row>
    <row r="184" spans="1:15" x14ac:dyDescent="0.3">
      <c r="A184" s="1">
        <v>45256</v>
      </c>
      <c r="B184" s="68">
        <v>16263.8</v>
      </c>
      <c r="C184" s="60">
        <f t="shared" si="15"/>
        <v>1.7517736708417164E-2</v>
      </c>
      <c r="E184" s="68">
        <v>285.95999999999998</v>
      </c>
      <c r="F184" s="60">
        <f t="shared" si="16"/>
        <v>1.2104480781482074E-2</v>
      </c>
      <c r="H184" s="69">
        <v>72.599999999999994</v>
      </c>
      <c r="I184" s="60">
        <f t="shared" si="19"/>
        <v>4.6561914372206914E-2</v>
      </c>
      <c r="K184" s="69">
        <v>127.33</v>
      </c>
      <c r="L184" s="60">
        <f t="shared" si="17"/>
        <v>-9.1821648120767874E-3</v>
      </c>
      <c r="N184" s="69">
        <v>19.54</v>
      </c>
      <c r="O184" s="60">
        <f t="shared" si="18"/>
        <v>7.2164948453607991E-3</v>
      </c>
    </row>
    <row r="185" spans="1:15" x14ac:dyDescent="0.3">
      <c r="A185" s="1">
        <v>45249</v>
      </c>
      <c r="B185" s="68">
        <v>15983.8</v>
      </c>
      <c r="C185" s="60">
        <f t="shared" si="15"/>
        <v>1.0769279413159527E-2</v>
      </c>
      <c r="E185" s="68">
        <v>282.54000000000002</v>
      </c>
      <c r="F185" s="60">
        <f t="shared" si="16"/>
        <v>2.4623753399818815E-2</v>
      </c>
      <c r="H185" s="69">
        <v>69.37</v>
      </c>
      <c r="I185" s="60">
        <f t="shared" si="19"/>
        <v>-2.4606299212598381E-2</v>
      </c>
      <c r="K185" s="69">
        <v>128.51</v>
      </c>
      <c r="L185" s="60">
        <f t="shared" si="17"/>
        <v>6.6583111389628691E-3</v>
      </c>
      <c r="N185" s="69">
        <v>19.399999999999999</v>
      </c>
      <c r="O185" s="60">
        <f t="shared" si="18"/>
        <v>5.1813471502588637E-3</v>
      </c>
    </row>
    <row r="186" spans="1:15" x14ac:dyDescent="0.3">
      <c r="A186" s="1">
        <v>45242</v>
      </c>
      <c r="B186" s="68">
        <v>15813.5</v>
      </c>
      <c r="C186" s="60">
        <f t="shared" si="15"/>
        <v>2.7624704322736671E-2</v>
      </c>
      <c r="E186" s="68">
        <v>275.75</v>
      </c>
      <c r="F186" s="60">
        <f t="shared" si="16"/>
        <v>2.9724784345942723E-2</v>
      </c>
      <c r="H186" s="69">
        <v>71.12</v>
      </c>
      <c r="I186" s="60">
        <f t="shared" si="19"/>
        <v>3.4623217922607141E-2</v>
      </c>
      <c r="K186" s="69">
        <v>127.66</v>
      </c>
      <c r="L186" s="60">
        <f t="shared" si="17"/>
        <v>1.357681619690343E-2</v>
      </c>
      <c r="N186" s="69">
        <v>19.3</v>
      </c>
      <c r="O186" s="60">
        <f t="shared" si="18"/>
        <v>2.0624008461131771E-2</v>
      </c>
    </row>
    <row r="187" spans="1:15" x14ac:dyDescent="0.3">
      <c r="A187" s="1">
        <v>45235</v>
      </c>
      <c r="B187" s="68">
        <v>15388.4</v>
      </c>
      <c r="C187" s="60">
        <f t="shared" si="15"/>
        <v>-5.6089743589744501E-3</v>
      </c>
      <c r="E187" s="68">
        <v>267.79000000000002</v>
      </c>
      <c r="F187" s="60">
        <f t="shared" si="16"/>
        <v>-2.9865233135473179E-4</v>
      </c>
      <c r="H187" s="69">
        <v>68.739999999999995</v>
      </c>
      <c r="I187" s="60">
        <f t="shared" si="19"/>
        <v>1.3864306784660663E-2</v>
      </c>
      <c r="K187" s="69">
        <v>125.95</v>
      </c>
      <c r="L187" s="60">
        <f t="shared" si="17"/>
        <v>-3.0869083425676402E-3</v>
      </c>
      <c r="N187" s="69">
        <v>18.91</v>
      </c>
      <c r="O187" s="60">
        <f t="shared" si="18"/>
        <v>-1.7662337662337602E-2</v>
      </c>
    </row>
    <row r="188" spans="1:15" x14ac:dyDescent="0.3">
      <c r="A188" s="1">
        <v>45228</v>
      </c>
      <c r="B188" s="68">
        <v>15475.2</v>
      </c>
      <c r="C188" s="60">
        <f t="shared" si="15"/>
        <v>5.4470625110726534E-2</v>
      </c>
      <c r="E188" s="68">
        <v>267.87</v>
      </c>
      <c r="F188" s="60">
        <f t="shared" si="16"/>
        <v>4.7349077259931205E-2</v>
      </c>
      <c r="H188" s="69">
        <v>67.8</v>
      </c>
      <c r="I188" s="60">
        <f t="shared" si="19"/>
        <v>2.9143897996356971E-2</v>
      </c>
      <c r="K188" s="69">
        <v>126.34</v>
      </c>
      <c r="L188" s="60">
        <f t="shared" si="17"/>
        <v>5.7769591426657829E-2</v>
      </c>
      <c r="N188" s="69">
        <v>19.25</v>
      </c>
      <c r="O188" s="60">
        <f t="shared" si="18"/>
        <v>1.156069364161838E-2</v>
      </c>
    </row>
    <row r="189" spans="1:15" x14ac:dyDescent="0.3">
      <c r="A189" s="1">
        <v>45221</v>
      </c>
      <c r="B189" s="68">
        <v>14675.8</v>
      </c>
      <c r="C189" s="60">
        <f t="shared" si="15"/>
        <v>-2.3780540533349326E-2</v>
      </c>
      <c r="E189" s="68">
        <v>255.76</v>
      </c>
      <c r="F189" s="60">
        <f t="shared" si="16"/>
        <v>-9.1046453062648691E-3</v>
      </c>
      <c r="H189" s="69">
        <v>65.88</v>
      </c>
      <c r="I189" s="60">
        <f t="shared" si="19"/>
        <v>6.108735491753059E-3</v>
      </c>
      <c r="K189" s="69">
        <v>119.44</v>
      </c>
      <c r="L189" s="60">
        <f t="shared" si="17"/>
        <v>-4.2517715714881499E-3</v>
      </c>
      <c r="N189" s="69">
        <v>19.03</v>
      </c>
      <c r="O189" s="60">
        <f t="shared" si="18"/>
        <v>-6.2663185378588615E-3</v>
      </c>
    </row>
    <row r="190" spans="1:15" x14ac:dyDescent="0.3">
      <c r="A190" s="1">
        <v>45214</v>
      </c>
      <c r="B190" s="68">
        <v>15033.3</v>
      </c>
      <c r="C190" s="60">
        <f t="shared" si="15"/>
        <v>-1.895103662953479E-2</v>
      </c>
      <c r="E190" s="68">
        <v>258.11</v>
      </c>
      <c r="F190" s="60">
        <f t="shared" si="16"/>
        <v>3.946679553783583E-2</v>
      </c>
      <c r="H190" s="69">
        <v>65.48</v>
      </c>
      <c r="I190" s="60">
        <f t="shared" si="19"/>
        <v>4.4838040529759038E-2</v>
      </c>
      <c r="K190" s="69">
        <v>119.95</v>
      </c>
      <c r="L190" s="60">
        <f t="shared" si="17"/>
        <v>2.6266255989048748E-2</v>
      </c>
      <c r="N190" s="69">
        <v>19.149999999999999</v>
      </c>
      <c r="O190" s="60">
        <f t="shared" si="18"/>
        <v>3.012372243141459E-2</v>
      </c>
    </row>
    <row r="191" spans="1:15" x14ac:dyDescent="0.3">
      <c r="A191" s="1">
        <v>45207</v>
      </c>
      <c r="B191" s="68">
        <v>15323.7</v>
      </c>
      <c r="C191" s="60">
        <f t="shared" si="15"/>
        <v>7.210464046273124E-3</v>
      </c>
      <c r="E191" s="68">
        <v>248.31</v>
      </c>
      <c r="F191" s="60">
        <f t="shared" si="16"/>
        <v>3.6258158085566983E-4</v>
      </c>
      <c r="H191" s="69">
        <v>62.67</v>
      </c>
      <c r="I191" s="60">
        <f t="shared" si="19"/>
        <v>-4.9221975230231418E-3</v>
      </c>
      <c r="K191" s="69">
        <v>116.88</v>
      </c>
      <c r="L191" s="60">
        <f t="shared" si="17"/>
        <v>-2.1597187343043722E-2</v>
      </c>
      <c r="N191" s="69">
        <v>18.59</v>
      </c>
      <c r="O191" s="60">
        <f t="shared" si="18"/>
        <v>-2.2093634928984862E-2</v>
      </c>
    </row>
    <row r="192" spans="1:15" x14ac:dyDescent="0.3">
      <c r="A192" s="1">
        <v>45200</v>
      </c>
      <c r="B192" s="68">
        <v>15214</v>
      </c>
      <c r="C192" s="60">
        <f t="shared" si="15"/>
        <v>-1.1962437167980733E-2</v>
      </c>
      <c r="E192" s="68">
        <v>248.22</v>
      </c>
      <c r="F192" s="60">
        <f t="shared" si="16"/>
        <v>-5.7774066201032537E-2</v>
      </c>
      <c r="H192" s="69">
        <v>62.98</v>
      </c>
      <c r="I192" s="60">
        <f t="shared" si="19"/>
        <v>-5.4638246772740984E-2</v>
      </c>
      <c r="K192" s="69">
        <v>119.46</v>
      </c>
      <c r="L192" s="60">
        <f t="shared" si="17"/>
        <v>-4.3861053305586761E-2</v>
      </c>
      <c r="N192" s="69">
        <v>19.010000000000002</v>
      </c>
      <c r="O192" s="60">
        <f t="shared" si="18"/>
        <v>-6.8593826555609971E-2</v>
      </c>
    </row>
    <row r="193" spans="1:15" x14ac:dyDescent="0.3">
      <c r="A193" s="1">
        <v>45193</v>
      </c>
      <c r="B193" s="68">
        <v>15398.2</v>
      </c>
      <c r="C193" s="60">
        <f t="shared" si="15"/>
        <v>-1.1002280098911243E-2</v>
      </c>
      <c r="E193" s="68">
        <v>263.44</v>
      </c>
      <c r="F193" s="60">
        <f t="shared" si="16"/>
        <v>-3.2253324516934967E-2</v>
      </c>
      <c r="H193" s="69">
        <v>66.62</v>
      </c>
      <c r="I193" s="60">
        <f t="shared" si="19"/>
        <v>-1.7693895606015753E-2</v>
      </c>
      <c r="K193" s="69">
        <v>124.94</v>
      </c>
      <c r="L193" s="60">
        <f t="shared" si="17"/>
        <v>-4.8000000000003595E-4</v>
      </c>
      <c r="N193" s="69">
        <v>20.41</v>
      </c>
      <c r="O193" s="60">
        <f t="shared" si="18"/>
        <v>-2.9311187103077119E-3</v>
      </c>
    </row>
    <row r="194" spans="1:15" x14ac:dyDescent="0.3">
      <c r="A194" s="1">
        <v>45186</v>
      </c>
      <c r="B194" s="68">
        <v>15569.5</v>
      </c>
      <c r="C194" s="60">
        <f t="shared" si="15"/>
        <v>-2.5304093603861433E-2</v>
      </c>
      <c r="E194" s="68">
        <v>272.22000000000003</v>
      </c>
      <c r="F194" s="60">
        <f t="shared" si="16"/>
        <v>-2.160083384250433E-2</v>
      </c>
      <c r="H194" s="69">
        <v>67.819999999999993</v>
      </c>
      <c r="I194" s="60">
        <f t="shared" si="19"/>
        <v>-1.1081948089822213E-2</v>
      </c>
      <c r="K194" s="69">
        <v>125</v>
      </c>
      <c r="L194" s="60">
        <f t="shared" si="17"/>
        <v>-2.3361200093757306E-2</v>
      </c>
      <c r="N194" s="69">
        <v>20.47</v>
      </c>
      <c r="O194" s="60">
        <f t="shared" si="18"/>
        <v>1.7901541521631037E-2</v>
      </c>
    </row>
    <row r="195" spans="1:15" x14ac:dyDescent="0.3">
      <c r="A195" s="1">
        <v>45179</v>
      </c>
      <c r="B195" s="68">
        <v>15973.7</v>
      </c>
      <c r="C195" s="60">
        <f t="shared" si="15"/>
        <v>5.9638516279363341E-3</v>
      </c>
      <c r="E195" s="68">
        <v>278.23</v>
      </c>
      <c r="F195" s="60">
        <f t="shared" si="16"/>
        <v>-3.5455912900221875E-3</v>
      </c>
      <c r="H195" s="69">
        <v>68.58</v>
      </c>
      <c r="I195" s="60">
        <f t="shared" si="19"/>
        <v>1.3447613418058113E-2</v>
      </c>
      <c r="K195" s="69">
        <v>127.99</v>
      </c>
      <c r="L195" s="60">
        <f t="shared" si="17"/>
        <v>1.1538765510155535E-2</v>
      </c>
      <c r="N195" s="69">
        <v>20.11</v>
      </c>
      <c r="O195" s="60">
        <f t="shared" si="18"/>
        <v>2.1330624682579957E-2</v>
      </c>
    </row>
    <row r="196" spans="1:15" x14ac:dyDescent="0.3">
      <c r="A196" s="1">
        <v>45172</v>
      </c>
      <c r="B196" s="68">
        <v>15879</v>
      </c>
      <c r="C196" s="60">
        <f t="shared" si="15"/>
        <v>-1.3224126573782913E-2</v>
      </c>
      <c r="E196" s="68">
        <v>279.22000000000003</v>
      </c>
      <c r="F196" s="60">
        <f t="shared" si="16"/>
        <v>-6.1223036947389842E-3</v>
      </c>
      <c r="H196" s="69">
        <v>67.67</v>
      </c>
      <c r="I196" s="60">
        <f t="shared" si="19"/>
        <v>-3.1902718168812627E-2</v>
      </c>
      <c r="K196" s="69">
        <v>126.53</v>
      </c>
      <c r="L196" s="60">
        <f t="shared" si="17"/>
        <v>-2.3989509410675569E-2</v>
      </c>
      <c r="N196" s="69">
        <v>19.690000000000001</v>
      </c>
      <c r="O196" s="60">
        <f t="shared" si="18"/>
        <v>-1.2537612838515511E-2</v>
      </c>
    </row>
    <row r="197" spans="1:15" x14ac:dyDescent="0.3">
      <c r="A197" s="1">
        <v>45165</v>
      </c>
      <c r="B197" s="68">
        <v>16091.8</v>
      </c>
      <c r="C197" s="60">
        <f t="shared" si="15"/>
        <v>2.0606460369508195E-2</v>
      </c>
      <c r="E197" s="68">
        <v>280.94</v>
      </c>
      <c r="F197" s="60">
        <f t="shared" si="16"/>
        <v>-1.2790779394194929E-2</v>
      </c>
      <c r="H197" s="69">
        <v>69.900000000000006</v>
      </c>
      <c r="I197" s="60">
        <f t="shared" si="19"/>
        <v>2.9606716747680117E-2</v>
      </c>
      <c r="K197" s="69">
        <v>129.63999999999999</v>
      </c>
      <c r="L197" s="60">
        <f t="shared" si="17"/>
        <v>-7.7077231385869194E-4</v>
      </c>
      <c r="N197" s="69">
        <v>19.940000000000001</v>
      </c>
      <c r="O197" s="60">
        <f t="shared" si="18"/>
        <v>-1.1892963330029649E-2</v>
      </c>
    </row>
    <row r="198" spans="1:15" x14ac:dyDescent="0.3">
      <c r="A198" s="1">
        <v>45158</v>
      </c>
      <c r="B198" s="68">
        <v>15766.9</v>
      </c>
      <c r="C198" s="60">
        <f t="shared" si="15"/>
        <v>1.0603039961396554E-3</v>
      </c>
      <c r="E198" s="68">
        <v>284.58</v>
      </c>
      <c r="F198" s="60">
        <f t="shared" si="16"/>
        <v>1.0080215801802961E-2</v>
      </c>
      <c r="H198" s="69">
        <v>67.89</v>
      </c>
      <c r="I198" s="60">
        <f t="shared" si="19"/>
        <v>-1.1646527878876101E-2</v>
      </c>
      <c r="K198" s="69">
        <v>129.74</v>
      </c>
      <c r="L198" s="60">
        <f t="shared" si="17"/>
        <v>4.801734820322201E-3</v>
      </c>
      <c r="N198" s="69">
        <v>20.18</v>
      </c>
      <c r="O198" s="60">
        <f t="shared" si="18"/>
        <v>-2.2286821705426396E-2</v>
      </c>
    </row>
    <row r="199" spans="1:15" x14ac:dyDescent="0.3">
      <c r="A199" s="1">
        <v>45151</v>
      </c>
      <c r="B199" s="68">
        <v>15750.2</v>
      </c>
      <c r="C199" s="60">
        <f t="shared" si="15"/>
        <v>-2.43567030489239E-2</v>
      </c>
      <c r="E199" s="68">
        <v>281.74</v>
      </c>
      <c r="F199" s="60">
        <f t="shared" si="16"/>
        <v>-2.3837571893839615E-2</v>
      </c>
      <c r="H199" s="69">
        <v>68.69</v>
      </c>
      <c r="I199" s="60">
        <f t="shared" si="19"/>
        <v>-5.8654241469096924E-2</v>
      </c>
      <c r="K199" s="69">
        <v>129.12</v>
      </c>
      <c r="L199" s="60">
        <f t="shared" si="17"/>
        <v>-3.7853949329359038E-2</v>
      </c>
      <c r="N199" s="69">
        <v>20.64</v>
      </c>
      <c r="O199" s="60">
        <f t="shared" si="18"/>
        <v>-4.1337668369716751E-2</v>
      </c>
    </row>
    <row r="200" spans="1:15" x14ac:dyDescent="0.3">
      <c r="A200" s="1">
        <v>45144</v>
      </c>
      <c r="B200" s="68">
        <v>16143.4</v>
      </c>
      <c r="C200" s="60">
        <f t="shared" si="15"/>
        <v>4.4987586412876812E-3</v>
      </c>
      <c r="E200" s="68">
        <v>288.62</v>
      </c>
      <c r="F200" s="60">
        <f t="shared" si="16"/>
        <v>5.5745244233851299E-3</v>
      </c>
      <c r="H200" s="69">
        <v>72.97</v>
      </c>
      <c r="I200" s="60">
        <f t="shared" si="19"/>
        <v>-6.6702967601415253E-3</v>
      </c>
      <c r="K200" s="69">
        <v>134.19999999999999</v>
      </c>
      <c r="L200" s="60">
        <f t="shared" si="17"/>
        <v>-1.1164867882397234E-3</v>
      </c>
      <c r="N200" s="69">
        <v>21.53</v>
      </c>
      <c r="O200" s="60">
        <f t="shared" si="18"/>
        <v>-2.7790643816580918E-3</v>
      </c>
    </row>
    <row r="201" spans="1:15" x14ac:dyDescent="0.3">
      <c r="A201" s="1">
        <v>45137</v>
      </c>
      <c r="B201" s="68">
        <v>16071.1</v>
      </c>
      <c r="C201" s="60">
        <f t="shared" si="15"/>
        <v>-1.7857033727915472E-2</v>
      </c>
      <c r="E201" s="68">
        <v>287.02</v>
      </c>
      <c r="F201" s="60">
        <f t="shared" si="16"/>
        <v>-2.3841104649185429E-2</v>
      </c>
      <c r="H201" s="69">
        <v>73.459999999999994</v>
      </c>
      <c r="I201" s="60">
        <f t="shared" si="19"/>
        <v>-4.4857625796385414E-2</v>
      </c>
      <c r="K201" s="69">
        <v>134.35</v>
      </c>
      <c r="L201" s="60">
        <f t="shared" si="17"/>
        <v>-1.891339272674164E-2</v>
      </c>
      <c r="N201" s="69">
        <v>21.59</v>
      </c>
      <c r="O201" s="60">
        <f t="shared" si="18"/>
        <v>6.5268065268064834E-3</v>
      </c>
    </row>
    <row r="202" spans="1:15" x14ac:dyDescent="0.3">
      <c r="A202" s="1">
        <v>45130</v>
      </c>
      <c r="B202" s="68">
        <v>16363.3</v>
      </c>
      <c r="C202" s="60">
        <f t="shared" si="15"/>
        <v>4.5551933501544184E-3</v>
      </c>
      <c r="E202" s="68">
        <v>294.02999999999997</v>
      </c>
      <c r="F202" s="60">
        <f t="shared" si="16"/>
        <v>-5.344880078481884E-3</v>
      </c>
      <c r="H202" s="69">
        <v>76.91</v>
      </c>
      <c r="I202" s="60">
        <f t="shared" si="19"/>
        <v>-9.7849877687653519E-3</v>
      </c>
      <c r="K202" s="69">
        <v>136.94</v>
      </c>
      <c r="L202" s="60">
        <f t="shared" si="17"/>
        <v>-4.362367311327553E-3</v>
      </c>
      <c r="N202" s="69">
        <v>21.45</v>
      </c>
      <c r="O202" s="60">
        <f t="shared" si="18"/>
        <v>-7.8630897317299997E-3</v>
      </c>
    </row>
    <row r="203" spans="1:15" x14ac:dyDescent="0.3">
      <c r="A203" s="1">
        <v>45123</v>
      </c>
      <c r="B203" s="68">
        <v>16289.1</v>
      </c>
      <c r="C203" s="60">
        <f t="shared" si="15"/>
        <v>1.5517262877021487E-2</v>
      </c>
      <c r="E203" s="68">
        <v>295.61</v>
      </c>
      <c r="F203" s="60">
        <f t="shared" si="16"/>
        <v>2.2716484708755758E-3</v>
      </c>
      <c r="H203" s="69">
        <v>77.67</v>
      </c>
      <c r="I203" s="60">
        <f t="shared" si="19"/>
        <v>4.9165480657265004E-3</v>
      </c>
      <c r="K203" s="69">
        <v>137.54</v>
      </c>
      <c r="L203" s="60">
        <f t="shared" si="17"/>
        <v>1.4606078489229679E-2</v>
      </c>
      <c r="N203" s="69">
        <v>21.62</v>
      </c>
      <c r="O203" s="60">
        <f t="shared" si="18"/>
        <v>1.2172284644194731E-2</v>
      </c>
    </row>
    <row r="204" spans="1:15" x14ac:dyDescent="0.3">
      <c r="A204" s="1">
        <v>45116</v>
      </c>
      <c r="B204" s="68">
        <v>16040.2</v>
      </c>
      <c r="C204" s="60">
        <f t="shared" si="15"/>
        <v>2.3520253196865681E-2</v>
      </c>
      <c r="E204" s="68">
        <v>294.94</v>
      </c>
      <c r="F204" s="60">
        <f t="shared" si="16"/>
        <v>9.7226977062649933E-3</v>
      </c>
      <c r="H204" s="69">
        <v>77.290000000000006</v>
      </c>
      <c r="I204" s="60">
        <f t="shared" si="19"/>
        <v>2.4251258945136689E-2</v>
      </c>
      <c r="K204" s="69">
        <v>135.56</v>
      </c>
      <c r="L204" s="60">
        <f t="shared" si="17"/>
        <v>1.5811165230423585E-2</v>
      </c>
      <c r="N204" s="69">
        <v>21.36</v>
      </c>
      <c r="O204" s="60">
        <f t="shared" si="18"/>
        <v>1.8761726078799779E-3</v>
      </c>
    </row>
    <row r="205" spans="1:15" x14ac:dyDescent="0.3">
      <c r="A205" s="1">
        <v>45109</v>
      </c>
      <c r="B205" s="68">
        <v>15671.6</v>
      </c>
      <c r="C205" s="60">
        <f t="shared" si="15"/>
        <v>-1.2868561782324095E-2</v>
      </c>
      <c r="E205" s="68">
        <v>292.10000000000002</v>
      </c>
      <c r="F205" s="60">
        <f t="shared" si="16"/>
        <v>-2.1145403974397681E-2</v>
      </c>
      <c r="H205" s="69">
        <v>75.459999999999994</v>
      </c>
      <c r="I205" s="60">
        <f t="shared" si="19"/>
        <v>-2.6573787409700733E-2</v>
      </c>
      <c r="K205" s="69">
        <v>133.44999999999999</v>
      </c>
      <c r="L205" s="60">
        <f t="shared" si="17"/>
        <v>-3.6809815950920366E-2</v>
      </c>
      <c r="N205" s="69">
        <v>21.32</v>
      </c>
      <c r="O205" s="60">
        <f t="shared" si="18"/>
        <v>-1.9770114942528672E-2</v>
      </c>
    </row>
    <row r="206" spans="1:15" x14ac:dyDescent="0.3">
      <c r="A206" s="1">
        <v>45102</v>
      </c>
      <c r="B206" s="68">
        <v>15875.9</v>
      </c>
      <c r="C206" s="60">
        <f t="shared" si="15"/>
        <v>2.6277683685210773E-2</v>
      </c>
      <c r="E206" s="68">
        <v>298.41000000000003</v>
      </c>
      <c r="F206" s="60">
        <f t="shared" si="16"/>
        <v>2.9319443965368563E-2</v>
      </c>
      <c r="H206" s="69">
        <v>77.52</v>
      </c>
      <c r="I206" s="60">
        <f t="shared" si="19"/>
        <v>2.8798938287989406E-2</v>
      </c>
      <c r="K206" s="69">
        <v>138.55000000000001</v>
      </c>
      <c r="L206" s="60">
        <f t="shared" si="17"/>
        <v>2.1755162241888115E-2</v>
      </c>
      <c r="N206" s="69">
        <v>21.75</v>
      </c>
      <c r="O206" s="60">
        <f t="shared" si="18"/>
        <v>1.5880429705744881E-2</v>
      </c>
    </row>
    <row r="207" spans="1:15" x14ac:dyDescent="0.3">
      <c r="A207" s="1">
        <v>45095</v>
      </c>
      <c r="B207" s="68">
        <v>15469.4</v>
      </c>
      <c r="C207" s="60">
        <f t="shared" si="15"/>
        <v>-2.0620318959677419E-2</v>
      </c>
      <c r="E207" s="68">
        <v>289.91000000000003</v>
      </c>
      <c r="F207" s="60">
        <f t="shared" si="16"/>
        <v>-1.2904324140279089E-2</v>
      </c>
      <c r="H207" s="69">
        <v>75.349999999999994</v>
      </c>
      <c r="I207" s="60">
        <f t="shared" si="19"/>
        <v>-1.4130576998560906E-2</v>
      </c>
      <c r="K207" s="69">
        <v>135.6</v>
      </c>
      <c r="L207" s="60">
        <f t="shared" si="17"/>
        <v>-2.1503824505700764E-2</v>
      </c>
      <c r="N207" s="69">
        <v>21.41</v>
      </c>
      <c r="O207" s="60">
        <f t="shared" si="18"/>
        <v>-4.7174009790832194E-2</v>
      </c>
    </row>
    <row r="208" spans="1:15" x14ac:dyDescent="0.3">
      <c r="A208" s="1">
        <v>45088</v>
      </c>
      <c r="B208" s="68">
        <v>15795.1</v>
      </c>
      <c r="C208" s="60">
        <f t="shared" si="15"/>
        <v>1.9045284163123677E-2</v>
      </c>
      <c r="E208" s="68">
        <v>293.7</v>
      </c>
      <c r="F208" s="60">
        <f t="shared" si="16"/>
        <v>2.4094285016911243E-2</v>
      </c>
      <c r="H208" s="69">
        <v>76.430000000000007</v>
      </c>
      <c r="I208" s="60">
        <f t="shared" si="19"/>
        <v>1.6897285790314243E-2</v>
      </c>
      <c r="K208" s="69">
        <v>138.58000000000001</v>
      </c>
      <c r="L208" s="60">
        <f t="shared" si="17"/>
        <v>3.8519184652278327E-2</v>
      </c>
      <c r="N208" s="69">
        <v>22.47</v>
      </c>
      <c r="O208" s="60">
        <f t="shared" si="18"/>
        <v>1.1251125112511362E-2</v>
      </c>
    </row>
    <row r="209" spans="1:15" x14ac:dyDescent="0.3">
      <c r="A209" s="1">
        <v>45081</v>
      </c>
      <c r="B209" s="68">
        <v>15499.9</v>
      </c>
      <c r="C209" s="60">
        <f t="shared" si="15"/>
        <v>1.0081328363266584E-2</v>
      </c>
      <c r="E209" s="68">
        <v>286.79000000000002</v>
      </c>
      <c r="F209" s="60">
        <f t="shared" si="16"/>
        <v>-1.0761960608464682E-2</v>
      </c>
      <c r="H209" s="69">
        <v>75.16</v>
      </c>
      <c r="I209" s="60">
        <f t="shared" si="19"/>
        <v>-1.5972767740246141E-2</v>
      </c>
      <c r="K209" s="69">
        <v>133.44</v>
      </c>
      <c r="L209" s="60">
        <f t="shared" si="17"/>
        <v>-8.1022820188805245E-3</v>
      </c>
      <c r="N209" s="69">
        <v>22.22</v>
      </c>
      <c r="O209" s="60">
        <f t="shared" si="18"/>
        <v>-2.3296703296703303E-2</v>
      </c>
    </row>
    <row r="210" spans="1:15" x14ac:dyDescent="0.3">
      <c r="A210" s="1">
        <v>45074</v>
      </c>
      <c r="B210" s="68">
        <v>15345.2</v>
      </c>
      <c r="C210" s="60">
        <f t="shared" si="15"/>
        <v>1.7673937408397178E-2</v>
      </c>
      <c r="E210" s="68">
        <v>289.91000000000003</v>
      </c>
      <c r="F210" s="60">
        <f t="shared" si="16"/>
        <v>1.3529576283037414E-2</v>
      </c>
      <c r="H210" s="69">
        <v>76.38</v>
      </c>
      <c r="I210" s="60">
        <f t="shared" si="19"/>
        <v>4.3157607211144366E-2</v>
      </c>
      <c r="K210" s="69">
        <v>134.53</v>
      </c>
      <c r="L210" s="60">
        <f t="shared" si="17"/>
        <v>3.5961805020791493E-2</v>
      </c>
      <c r="N210" s="69">
        <v>22.75</v>
      </c>
      <c r="O210" s="60">
        <f t="shared" si="18"/>
        <v>2.4774774774774855E-2</v>
      </c>
    </row>
    <row r="211" spans="1:15" x14ac:dyDescent="0.3">
      <c r="A211" s="1">
        <v>45067</v>
      </c>
      <c r="B211" s="68">
        <v>15078.7</v>
      </c>
      <c r="C211" s="60">
        <f t="shared" si="15"/>
        <v>-1.6026833199558776E-2</v>
      </c>
      <c r="E211" s="68">
        <v>286.04000000000002</v>
      </c>
      <c r="F211" s="60">
        <f t="shared" si="16"/>
        <v>-3.2177296565724878E-2</v>
      </c>
      <c r="H211" s="69">
        <v>73.22</v>
      </c>
      <c r="I211" s="60">
        <f t="shared" si="19"/>
        <v>-5.4600054600062453E-4</v>
      </c>
      <c r="K211" s="69">
        <v>129.86000000000001</v>
      </c>
      <c r="L211" s="60">
        <f t="shared" si="17"/>
        <v>-6.0890945906855509E-2</v>
      </c>
      <c r="N211" s="69">
        <v>22.2</v>
      </c>
      <c r="O211" s="60">
        <f t="shared" si="18"/>
        <v>-5.1282051282051211E-2</v>
      </c>
    </row>
    <row r="212" spans="1:15" x14ac:dyDescent="0.3">
      <c r="A212" s="1">
        <v>45060</v>
      </c>
      <c r="B212" s="68">
        <v>15324.3</v>
      </c>
      <c r="C212" s="60">
        <f t="shared" si="15"/>
        <v>5.1094028754328225E-3</v>
      </c>
      <c r="E212" s="68">
        <v>295.55</v>
      </c>
      <c r="F212" s="60">
        <f t="shared" si="16"/>
        <v>-1.9923009387451396E-3</v>
      </c>
      <c r="H212" s="69">
        <v>73.260000000000005</v>
      </c>
      <c r="I212" s="60">
        <f t="shared" si="19"/>
        <v>5.2140504939628407E-3</v>
      </c>
      <c r="K212" s="69">
        <v>138.28</v>
      </c>
      <c r="L212" s="60">
        <f t="shared" si="17"/>
        <v>-1.6605299256370332E-3</v>
      </c>
      <c r="N212" s="69">
        <v>23.4</v>
      </c>
      <c r="O212" s="60">
        <f t="shared" si="18"/>
        <v>-1.7064846416383617E-3</v>
      </c>
    </row>
    <row r="213" spans="1:15" x14ac:dyDescent="0.3">
      <c r="A213" s="1">
        <v>45053</v>
      </c>
      <c r="B213" s="68">
        <v>15246.4</v>
      </c>
      <c r="C213" s="60">
        <f t="shared" si="15"/>
        <v>-8.7446118237554105E-3</v>
      </c>
      <c r="E213" s="68">
        <v>296.14</v>
      </c>
      <c r="F213" s="60">
        <f t="shared" si="16"/>
        <v>-1.5509103169252247E-3</v>
      </c>
      <c r="H213" s="69">
        <v>72.88</v>
      </c>
      <c r="I213" s="60">
        <f t="shared" si="19"/>
        <v>1.8161497625034828E-2</v>
      </c>
      <c r="K213" s="69">
        <v>138.51</v>
      </c>
      <c r="L213" s="60">
        <f t="shared" si="17"/>
        <v>7.4187213615535264E-3</v>
      </c>
      <c r="N213" s="69">
        <v>23.44</v>
      </c>
      <c r="O213" s="60">
        <f t="shared" si="18"/>
        <v>3.5793194874061074E-2</v>
      </c>
    </row>
    <row r="214" spans="1:15" x14ac:dyDescent="0.3">
      <c r="A214" s="1">
        <v>45046</v>
      </c>
      <c r="B214" s="68">
        <v>15380.9</v>
      </c>
      <c r="C214" s="60">
        <f t="shared" si="15"/>
        <v>-1.0613730951569256E-2</v>
      </c>
      <c r="E214" s="68">
        <v>296.60000000000002</v>
      </c>
      <c r="F214" s="60">
        <f t="shared" si="16"/>
        <v>2.8740490278953423E-3</v>
      </c>
      <c r="H214" s="69">
        <v>71.58</v>
      </c>
      <c r="I214" s="60">
        <f t="shared" si="19"/>
        <v>2.067588763724526E-2</v>
      </c>
      <c r="K214" s="69">
        <v>137.49</v>
      </c>
      <c r="L214" s="60">
        <f t="shared" si="17"/>
        <v>-2.1980367050789651E-2</v>
      </c>
      <c r="N214" s="69">
        <v>22.63</v>
      </c>
      <c r="O214" s="60">
        <f t="shared" si="18"/>
        <v>2.3981900452488603E-2</v>
      </c>
    </row>
    <row r="215" spans="1:15" x14ac:dyDescent="0.3">
      <c r="A215" s="1">
        <v>45039</v>
      </c>
      <c r="B215" s="68">
        <v>15545.9</v>
      </c>
      <c r="C215" s="60">
        <f t="shared" si="15"/>
        <v>-2.1182496838673126E-3</v>
      </c>
      <c r="E215" s="68">
        <v>295.75</v>
      </c>
      <c r="F215" s="60">
        <f t="shared" si="16"/>
        <v>1.2634390193795753E-2</v>
      </c>
      <c r="H215" s="69">
        <v>70.13</v>
      </c>
      <c r="I215" s="60">
        <f t="shared" si="19"/>
        <v>8.9195799165586731E-3</v>
      </c>
      <c r="K215" s="69">
        <v>140.58000000000001</v>
      </c>
      <c r="L215" s="60">
        <f t="shared" si="17"/>
        <v>1.626545217957065E-2</v>
      </c>
      <c r="N215" s="69">
        <v>22.1</v>
      </c>
      <c r="O215" s="60">
        <f t="shared" si="18"/>
        <v>-2.4713150926743088E-2</v>
      </c>
    </row>
    <row r="216" spans="1:15" x14ac:dyDescent="0.3">
      <c r="A216" s="1">
        <v>45032</v>
      </c>
      <c r="B216" s="68">
        <v>15578.9</v>
      </c>
      <c r="C216" s="60">
        <f t="shared" si="15"/>
        <v>-1.467779358791943E-3</v>
      </c>
      <c r="E216" s="68">
        <v>292.06</v>
      </c>
      <c r="F216" s="60">
        <f t="shared" si="16"/>
        <v>1.0658177036473093E-2</v>
      </c>
      <c r="H216" s="69">
        <v>69.510000000000005</v>
      </c>
      <c r="I216" s="60">
        <f t="shared" si="19"/>
        <v>2.9777777777777903E-2</v>
      </c>
      <c r="K216" s="69">
        <v>138.33000000000001</v>
      </c>
      <c r="L216" s="60">
        <f t="shared" si="17"/>
        <v>2.5578291814946752E-2</v>
      </c>
      <c r="N216" s="69">
        <v>22.66</v>
      </c>
      <c r="O216" s="60">
        <f t="shared" si="18"/>
        <v>5.346350534635036E-2</v>
      </c>
    </row>
    <row r="217" spans="1:15" x14ac:dyDescent="0.3">
      <c r="A217" s="1">
        <v>45025</v>
      </c>
      <c r="B217" s="68">
        <v>15601.8</v>
      </c>
      <c r="C217" s="60">
        <f t="shared" si="15"/>
        <v>1.4480691327841022E-2</v>
      </c>
      <c r="E217" s="68">
        <v>288.98</v>
      </c>
      <c r="F217" s="60">
        <f t="shared" si="16"/>
        <v>2.1527802325992607E-2</v>
      </c>
      <c r="H217" s="69">
        <v>67.5</v>
      </c>
      <c r="I217" s="60">
        <f t="shared" si="19"/>
        <v>2.2572337524617403E-2</v>
      </c>
      <c r="K217" s="69">
        <v>134.88</v>
      </c>
      <c r="L217" s="60">
        <f t="shared" si="17"/>
        <v>2.1044663133989339E-2</v>
      </c>
      <c r="N217" s="69">
        <v>21.51</v>
      </c>
      <c r="O217" s="60">
        <f t="shared" si="18"/>
        <v>-9.2123445416858463E-3</v>
      </c>
    </row>
    <row r="218" spans="1:15" x14ac:dyDescent="0.3">
      <c r="A218" s="1">
        <v>45018</v>
      </c>
      <c r="B218" s="68">
        <v>15379.1</v>
      </c>
      <c r="C218" s="60">
        <f t="shared" si="15"/>
        <v>2.7317250843905683E-4</v>
      </c>
      <c r="E218" s="68">
        <v>282.89</v>
      </c>
      <c r="F218" s="60">
        <f t="shared" si="16"/>
        <v>1.1730624798826916E-2</v>
      </c>
      <c r="H218" s="69">
        <v>66.010000000000005</v>
      </c>
      <c r="I218" s="60">
        <f t="shared" si="19"/>
        <v>-1.6830503425677601E-2</v>
      </c>
      <c r="K218" s="69">
        <v>132.1</v>
      </c>
      <c r="L218" s="60">
        <f t="shared" si="17"/>
        <v>1.5142337976969955E-4</v>
      </c>
      <c r="N218" s="69">
        <v>21.71</v>
      </c>
      <c r="O218" s="60">
        <f t="shared" si="18"/>
        <v>-3.2139577594123558E-3</v>
      </c>
    </row>
    <row r="219" spans="1:15" x14ac:dyDescent="0.3">
      <c r="A219" s="1">
        <v>45011</v>
      </c>
      <c r="B219" s="68">
        <v>15374.9</v>
      </c>
      <c r="C219" s="60">
        <f t="shared" si="15"/>
        <v>4.17587034000515E-2</v>
      </c>
      <c r="E219" s="68">
        <v>279.61</v>
      </c>
      <c r="F219" s="60">
        <f t="shared" si="16"/>
        <v>3.0516345409648871E-2</v>
      </c>
      <c r="H219" s="69">
        <v>67.14</v>
      </c>
      <c r="I219" s="60">
        <f t="shared" si="19"/>
        <v>7.7515647568608514E-2</v>
      </c>
      <c r="K219" s="69">
        <v>132.08000000000001</v>
      </c>
      <c r="L219" s="60">
        <f t="shared" si="17"/>
        <v>3.3247281545803142E-2</v>
      </c>
      <c r="N219" s="69">
        <v>21.78</v>
      </c>
      <c r="O219" s="60">
        <f t="shared" si="18"/>
        <v>3.6156041864890742E-2</v>
      </c>
    </row>
    <row r="220" spans="1:15" x14ac:dyDescent="0.3">
      <c r="A220" s="1">
        <v>45004</v>
      </c>
      <c r="B220" s="68">
        <v>14758.6</v>
      </c>
      <c r="C220" s="60">
        <f t="shared" si="15"/>
        <v>1.0932255633947507E-2</v>
      </c>
      <c r="E220" s="68">
        <v>271.33</v>
      </c>
      <c r="F220" s="60">
        <f t="shared" si="16"/>
        <v>1.5456586826347207E-2</v>
      </c>
      <c r="H220" s="69">
        <v>62.31</v>
      </c>
      <c r="I220" s="60">
        <f t="shared" si="19"/>
        <v>2.2816808929744026E-2</v>
      </c>
      <c r="K220" s="69">
        <v>127.83</v>
      </c>
      <c r="L220" s="60">
        <f t="shared" si="17"/>
        <v>7.7256602286164267E-3</v>
      </c>
      <c r="N220" s="69">
        <v>21.02</v>
      </c>
      <c r="O220" s="60">
        <f t="shared" si="18"/>
        <v>2.0883924235065576E-2</v>
      </c>
    </row>
    <row r="221" spans="1:15" x14ac:dyDescent="0.3">
      <c r="A221" s="1">
        <v>44997</v>
      </c>
      <c r="B221" s="68">
        <v>14599</v>
      </c>
      <c r="C221" s="60">
        <f t="shared" si="15"/>
        <v>-1.9819795625142689E-2</v>
      </c>
      <c r="E221" s="68">
        <v>267.2</v>
      </c>
      <c r="F221" s="60">
        <f t="shared" si="16"/>
        <v>1.973056520245775E-2</v>
      </c>
      <c r="H221" s="69">
        <v>60.92</v>
      </c>
      <c r="I221" s="60">
        <f t="shared" si="19"/>
        <v>6.4430860730215755E-3</v>
      </c>
      <c r="K221" s="69">
        <v>126.85</v>
      </c>
      <c r="L221" s="60">
        <f t="shared" si="17"/>
        <v>1.8221223310322721E-2</v>
      </c>
      <c r="N221" s="69">
        <v>20.59</v>
      </c>
      <c r="O221" s="60">
        <f t="shared" si="18"/>
        <v>-1.388888888888884E-2</v>
      </c>
    </row>
    <row r="222" spans="1:15" x14ac:dyDescent="0.3">
      <c r="A222" s="1">
        <v>44990</v>
      </c>
      <c r="B222" s="68">
        <v>14894.2</v>
      </c>
      <c r="C222" s="60">
        <f t="shared" si="15"/>
        <v>-5.2598100641812584E-2</v>
      </c>
      <c r="E222" s="68">
        <v>262.02999999999997</v>
      </c>
      <c r="F222" s="60">
        <f t="shared" si="16"/>
        <v>-2.6164195190842565E-2</v>
      </c>
      <c r="H222" s="69">
        <v>60.53</v>
      </c>
      <c r="I222" s="60">
        <f t="shared" si="19"/>
        <v>-5.5399500624219722E-2</v>
      </c>
      <c r="K222" s="69">
        <v>124.58</v>
      </c>
      <c r="L222" s="60">
        <f t="shared" si="17"/>
        <v>-3.9253489627515958E-2</v>
      </c>
      <c r="N222" s="69">
        <v>20.88</v>
      </c>
      <c r="O222" s="60">
        <f t="shared" si="18"/>
        <v>-4.7879616963064309E-2</v>
      </c>
    </row>
    <row r="223" spans="1:15" x14ac:dyDescent="0.3">
      <c r="A223" s="1">
        <v>44983</v>
      </c>
      <c r="B223" s="68">
        <v>15721.1</v>
      </c>
      <c r="C223" s="60">
        <f t="shared" si="15"/>
        <v>1.6592841669630376E-2</v>
      </c>
      <c r="E223" s="68">
        <v>269.07</v>
      </c>
      <c r="F223" s="60">
        <f t="shared" si="16"/>
        <v>2.0441444174757128E-2</v>
      </c>
      <c r="H223" s="69">
        <v>64.08</v>
      </c>
      <c r="I223" s="60">
        <f t="shared" si="19"/>
        <v>-1.5668202764976935E-2</v>
      </c>
      <c r="K223" s="69">
        <v>129.66999999999999</v>
      </c>
      <c r="L223" s="60">
        <f t="shared" si="17"/>
        <v>2.2392178506662308E-2</v>
      </c>
      <c r="N223" s="69">
        <v>21.93</v>
      </c>
      <c r="O223" s="60">
        <f t="shared" si="18"/>
        <v>-2.5333333333333319E-2</v>
      </c>
    </row>
    <row r="224" spans="1:15" x14ac:dyDescent="0.3">
      <c r="A224" s="1">
        <v>44976</v>
      </c>
      <c r="B224" s="68">
        <v>15464.5</v>
      </c>
      <c r="C224" s="60">
        <f t="shared" si="15"/>
        <v>-2.3718134872034446E-2</v>
      </c>
      <c r="E224" s="68">
        <v>263.68</v>
      </c>
      <c r="F224" s="60">
        <f t="shared" si="16"/>
        <v>-2.3371235971702653E-2</v>
      </c>
      <c r="H224" s="69">
        <v>65.099999999999994</v>
      </c>
      <c r="I224" s="60">
        <f t="shared" si="19"/>
        <v>-3.584123222748814E-2</v>
      </c>
      <c r="K224" s="69">
        <v>126.83</v>
      </c>
      <c r="L224" s="60">
        <f t="shared" si="17"/>
        <v>-3.9457740078764014E-2</v>
      </c>
      <c r="N224" s="69">
        <v>22.5</v>
      </c>
      <c r="O224" s="60">
        <f t="shared" si="18"/>
        <v>-1.7467248908296873E-2</v>
      </c>
    </row>
    <row r="225" spans="1:15" x14ac:dyDescent="0.3">
      <c r="A225" s="1">
        <v>44969</v>
      </c>
      <c r="B225" s="68">
        <v>15840.2</v>
      </c>
      <c r="C225" s="60">
        <f t="shared" si="15"/>
        <v>-4.4309804094100347E-3</v>
      </c>
      <c r="E225" s="68">
        <v>269.99</v>
      </c>
      <c r="F225" s="60">
        <f t="shared" si="16"/>
        <v>2.8846886670223171E-2</v>
      </c>
      <c r="H225" s="69">
        <v>67.52</v>
      </c>
      <c r="I225" s="60">
        <f t="shared" si="19"/>
        <v>-1.4788524105295853E-3</v>
      </c>
      <c r="K225" s="69">
        <v>132.04</v>
      </c>
      <c r="L225" s="60">
        <f t="shared" si="17"/>
        <v>5.5593633386641361E-3</v>
      </c>
      <c r="N225" s="69">
        <v>22.9</v>
      </c>
      <c r="O225" s="60">
        <f t="shared" si="18"/>
        <v>2.6445540116539767E-2</v>
      </c>
    </row>
    <row r="226" spans="1:15" x14ac:dyDescent="0.3">
      <c r="A226" s="1">
        <v>44962</v>
      </c>
      <c r="B226" s="68">
        <v>15910.7</v>
      </c>
      <c r="C226" s="60">
        <f t="shared" si="15"/>
        <v>-5.5439578984211035E-3</v>
      </c>
      <c r="E226" s="68">
        <v>262.42</v>
      </c>
      <c r="F226" s="60">
        <f t="shared" si="16"/>
        <v>-6.8500927222495678E-3</v>
      </c>
      <c r="H226" s="69">
        <v>67.62</v>
      </c>
      <c r="I226" s="60">
        <f t="shared" si="19"/>
        <v>-4.4345898004438666E-4</v>
      </c>
      <c r="K226" s="69">
        <v>131.31</v>
      </c>
      <c r="L226" s="60">
        <f t="shared" si="17"/>
        <v>3.385560192110848E-2</v>
      </c>
      <c r="N226" s="69">
        <v>22.31</v>
      </c>
      <c r="O226" s="60">
        <f t="shared" si="18"/>
        <v>1.3464991023337536E-3</v>
      </c>
    </row>
    <row r="227" spans="1:15" x14ac:dyDescent="0.3">
      <c r="A227" s="1">
        <v>44955</v>
      </c>
      <c r="B227" s="68">
        <v>15999.4</v>
      </c>
      <c r="C227" s="60">
        <f t="shared" si="15"/>
        <v>2.3053888464283911E-3</v>
      </c>
      <c r="E227" s="68">
        <v>264.23</v>
      </c>
      <c r="F227" s="60">
        <f t="shared" si="16"/>
        <v>-3.0206268810100467E-2</v>
      </c>
      <c r="H227" s="69">
        <v>67.650000000000006</v>
      </c>
      <c r="I227" s="60">
        <f t="shared" si="19"/>
        <v>9.8522167487686829E-3</v>
      </c>
      <c r="K227" s="69">
        <v>127.01</v>
      </c>
      <c r="L227" s="60">
        <f t="shared" si="17"/>
        <v>-8.7411222976663261E-3</v>
      </c>
      <c r="N227" s="69">
        <v>22.28</v>
      </c>
      <c r="O227" s="60">
        <f t="shared" si="18"/>
        <v>3.6761284318287624E-2</v>
      </c>
    </row>
    <row r="228" spans="1:15" x14ac:dyDescent="0.3">
      <c r="A228" s="1">
        <v>44948</v>
      </c>
      <c r="B228" s="68">
        <v>15962.6</v>
      </c>
      <c r="C228" s="60">
        <f t="shared" si="15"/>
        <v>1.1731896688321974E-2</v>
      </c>
      <c r="E228" s="68">
        <v>272.45999999999998</v>
      </c>
      <c r="F228" s="60">
        <f t="shared" si="16"/>
        <v>1.4446347456996023E-2</v>
      </c>
      <c r="H228" s="69">
        <v>66.989999999999995</v>
      </c>
      <c r="I228" s="60">
        <f t="shared" si="19"/>
        <v>1.7945266935843751E-3</v>
      </c>
      <c r="K228" s="69">
        <v>128.13</v>
      </c>
      <c r="L228" s="60">
        <f t="shared" si="17"/>
        <v>1.1845534233593913E-2</v>
      </c>
      <c r="N228" s="69">
        <v>21.49</v>
      </c>
      <c r="O228" s="60">
        <f t="shared" si="18"/>
        <v>-4.4039145907473376E-2</v>
      </c>
    </row>
    <row r="229" spans="1:15" x14ac:dyDescent="0.3">
      <c r="A229" s="1">
        <v>44941</v>
      </c>
      <c r="B229" s="68">
        <v>15777.5</v>
      </c>
      <c r="C229" s="60">
        <f t="shared" si="15"/>
        <v>-8.8513920997085327E-3</v>
      </c>
      <c r="E229" s="68">
        <v>268.58</v>
      </c>
      <c r="F229" s="60">
        <f t="shared" si="16"/>
        <v>-1.1528877979842811E-3</v>
      </c>
      <c r="H229" s="69">
        <v>66.87</v>
      </c>
      <c r="I229" s="60">
        <f t="shared" si="19"/>
        <v>7.8372268274304879E-3</v>
      </c>
      <c r="K229" s="69">
        <v>126.63</v>
      </c>
      <c r="L229" s="60">
        <f t="shared" si="17"/>
        <v>-2.756872984180625E-2</v>
      </c>
      <c r="N229" s="69">
        <v>22.48</v>
      </c>
      <c r="O229" s="60">
        <f t="shared" si="18"/>
        <v>-2.5996533795493826E-2</v>
      </c>
    </row>
    <row r="230" spans="1:15" x14ac:dyDescent="0.3">
      <c r="A230" s="1">
        <v>44934</v>
      </c>
      <c r="B230" s="68">
        <v>15918.4</v>
      </c>
      <c r="C230" s="60">
        <f t="shared" si="15"/>
        <v>2.4369839829597728E-2</v>
      </c>
      <c r="E230" s="68">
        <v>268.89</v>
      </c>
      <c r="F230" s="60">
        <f t="shared" si="16"/>
        <v>-2.1523731769771404E-3</v>
      </c>
      <c r="H230" s="69">
        <v>66.349999999999994</v>
      </c>
      <c r="I230" s="60">
        <f t="shared" si="19"/>
        <v>1.0508681084373972E-2</v>
      </c>
      <c r="K230" s="69">
        <v>130.22</v>
      </c>
      <c r="L230" s="60">
        <f t="shared" si="17"/>
        <v>-5.37263028628443E-4</v>
      </c>
      <c r="N230" s="69">
        <v>23.08</v>
      </c>
      <c r="O230" s="60">
        <f t="shared" si="18"/>
        <v>1.3614404918752765E-2</v>
      </c>
    </row>
    <row r="231" spans="1:15" x14ac:dyDescent="0.3">
      <c r="A231" s="1">
        <v>44927</v>
      </c>
      <c r="B231" s="68">
        <v>15539.7</v>
      </c>
      <c r="C231" s="60">
        <f t="shared" si="15"/>
        <v>2.3405754628135655E-2</v>
      </c>
      <c r="E231" s="68">
        <v>269.47000000000003</v>
      </c>
      <c r="F231" s="60">
        <f t="shared" si="16"/>
        <v>2.25401282586426E-2</v>
      </c>
      <c r="H231" s="69">
        <v>65.66</v>
      </c>
      <c r="I231" s="60">
        <f t="shared" si="19"/>
        <v>1.5308489253131219E-2</v>
      </c>
      <c r="K231" s="69">
        <v>130.29</v>
      </c>
      <c r="L231" s="60">
        <f t="shared" si="17"/>
        <v>1.7254840724546971E-2</v>
      </c>
      <c r="N231" s="69">
        <v>22.77</v>
      </c>
      <c r="O231" s="60">
        <f t="shared" si="18"/>
        <v>6.1864781263809565E-3</v>
      </c>
    </row>
    <row r="232" spans="1:15" x14ac:dyDescent="0.3">
      <c r="A232" s="1">
        <v>44920</v>
      </c>
      <c r="B232" s="68">
        <v>15184.3</v>
      </c>
      <c r="C232" s="60">
        <f t="shared" si="15"/>
        <v>-2.7652500246899692E-4</v>
      </c>
      <c r="E232" s="68">
        <v>263.52999999999997</v>
      </c>
      <c r="F232" s="60">
        <f t="shared" si="16"/>
        <v>-1.5098852636693305E-2</v>
      </c>
      <c r="H232" s="69">
        <v>64.67</v>
      </c>
      <c r="I232" s="60">
        <f t="shared" si="19"/>
        <v>-4.9238344360670316E-3</v>
      </c>
      <c r="K232" s="69">
        <v>128.08000000000001</v>
      </c>
      <c r="L232" s="60">
        <f t="shared" si="17"/>
        <v>-6.361520558572531E-3</v>
      </c>
      <c r="N232" s="69">
        <v>22.63</v>
      </c>
      <c r="O232" s="60">
        <f t="shared" si="18"/>
        <v>-2.1616947686986632E-2</v>
      </c>
    </row>
    <row r="233" spans="1:15" x14ac:dyDescent="0.3">
      <c r="A233" s="1">
        <v>44913</v>
      </c>
      <c r="B233" s="68">
        <v>15188.5</v>
      </c>
      <c r="C233" s="60">
        <f t="shared" si="15"/>
        <v>1.1339574649425366E-2</v>
      </c>
      <c r="E233" s="68">
        <v>267.57</v>
      </c>
      <c r="F233" s="60">
        <f t="shared" si="16"/>
        <v>5.4486697730347089E-3</v>
      </c>
      <c r="H233" s="69">
        <v>64.989999999999995</v>
      </c>
      <c r="I233" s="60">
        <f t="shared" si="19"/>
        <v>-1.5153811183512667E-2</v>
      </c>
      <c r="K233" s="69">
        <v>128.9</v>
      </c>
      <c r="L233" s="60">
        <f t="shared" si="17"/>
        <v>-3.6329906469815265E-3</v>
      </c>
      <c r="N233" s="69">
        <v>23.13</v>
      </c>
      <c r="O233" s="60">
        <f t="shared" si="18"/>
        <v>1.2987012987011326E-3</v>
      </c>
    </row>
    <row r="234" spans="1:15" x14ac:dyDescent="0.3">
      <c r="A234" s="1">
        <v>44906</v>
      </c>
      <c r="B234" s="68">
        <v>15018.2</v>
      </c>
      <c r="C234" s="60">
        <f t="shared" si="15"/>
        <v>-1.7840559806422074E-2</v>
      </c>
      <c r="E234" s="68">
        <v>266.12</v>
      </c>
      <c r="F234" s="60">
        <f t="shared" si="16"/>
        <v>-2.1761505660932268E-2</v>
      </c>
      <c r="H234" s="69">
        <v>65.989999999999995</v>
      </c>
      <c r="I234" s="60">
        <f t="shared" si="19"/>
        <v>-8.265704839194643E-3</v>
      </c>
      <c r="K234" s="69">
        <v>129.37</v>
      </c>
      <c r="L234" s="60">
        <f t="shared" si="17"/>
        <v>1.2998199044710779E-2</v>
      </c>
      <c r="N234" s="69">
        <v>23.1</v>
      </c>
      <c r="O234" s="60">
        <f t="shared" si="18"/>
        <v>-4.3271311120718359E-4</v>
      </c>
    </row>
    <row r="235" spans="1:15" x14ac:dyDescent="0.3">
      <c r="A235" s="1">
        <v>44899</v>
      </c>
      <c r="B235" s="68">
        <v>15291</v>
      </c>
      <c r="C235" s="60">
        <f t="shared" si="15"/>
        <v>-3.0189636582736101E-2</v>
      </c>
      <c r="E235" s="68">
        <v>272.04000000000002</v>
      </c>
      <c r="F235" s="60">
        <f t="shared" si="16"/>
        <v>-4.9743964886611591E-3</v>
      </c>
      <c r="H235" s="69">
        <v>66.540000000000006</v>
      </c>
      <c r="I235" s="60">
        <f t="shared" si="19"/>
        <v>1.6558783682070199E-3</v>
      </c>
      <c r="K235" s="69">
        <v>127.71</v>
      </c>
      <c r="L235" s="60">
        <f t="shared" si="17"/>
        <v>-1.5191239975324011E-2</v>
      </c>
      <c r="N235" s="69">
        <v>23.11</v>
      </c>
      <c r="O235" s="60">
        <f t="shared" si="18"/>
        <v>4.3459365493263569E-3</v>
      </c>
    </row>
    <row r="236" spans="1:15" x14ac:dyDescent="0.3">
      <c r="A236" s="1">
        <v>44892</v>
      </c>
      <c r="B236" s="68">
        <v>15767</v>
      </c>
      <c r="C236" s="60">
        <f t="shared" si="15"/>
        <v>1.0335966986421585E-2</v>
      </c>
      <c r="E236" s="68">
        <v>273.39999999999998</v>
      </c>
      <c r="F236" s="60">
        <f t="shared" si="16"/>
        <v>-5.8181818181819445E-3</v>
      </c>
      <c r="H236" s="69">
        <v>66.430000000000007</v>
      </c>
      <c r="I236" s="60">
        <f t="shared" si="19"/>
        <v>-1.2028266426100664E-3</v>
      </c>
      <c r="K236" s="69">
        <v>129.68</v>
      </c>
      <c r="L236" s="60">
        <f t="shared" si="17"/>
        <v>2.4895281751363463E-2</v>
      </c>
      <c r="N236" s="69">
        <v>23.01</v>
      </c>
      <c r="O236" s="60">
        <f t="shared" si="18"/>
        <v>2.6315789473684292E-2</v>
      </c>
    </row>
    <row r="237" spans="1:15" x14ac:dyDescent="0.3">
      <c r="A237" s="1">
        <v>44885</v>
      </c>
      <c r="B237" s="68">
        <v>15605.7</v>
      </c>
      <c r="C237" s="60">
        <f t="shared" si="15"/>
        <v>1.9327489581836499E-2</v>
      </c>
      <c r="E237" s="68">
        <v>275</v>
      </c>
      <c r="F237" s="60">
        <f t="shared" si="16"/>
        <v>5.9626147711893118E-3</v>
      </c>
      <c r="H237" s="69">
        <v>66.510000000000005</v>
      </c>
      <c r="I237" s="60">
        <f t="shared" si="19"/>
        <v>-3.4462091699128949E-3</v>
      </c>
      <c r="K237" s="69">
        <v>126.53</v>
      </c>
      <c r="L237" s="60">
        <f t="shared" si="17"/>
        <v>1.5408073188347693E-2</v>
      </c>
      <c r="N237" s="69">
        <v>22.42</v>
      </c>
      <c r="O237" s="60">
        <f t="shared" si="18"/>
        <v>7.170172084130022E-2</v>
      </c>
    </row>
    <row r="238" spans="1:15" x14ac:dyDescent="0.3">
      <c r="A238" s="1">
        <v>44878</v>
      </c>
      <c r="B238" s="68">
        <v>15309.8</v>
      </c>
      <c r="C238" s="60">
        <f t="shared" si="15"/>
        <v>-2.7942967686466202E-3</v>
      </c>
      <c r="E238" s="68">
        <v>273.37</v>
      </c>
      <c r="F238" s="60">
        <f t="shared" si="16"/>
        <v>7.2957736099341641E-3</v>
      </c>
      <c r="H238" s="69">
        <v>66.739999999999995</v>
      </c>
      <c r="I238" s="60">
        <f t="shared" si="19"/>
        <v>9.9143610013175065E-2</v>
      </c>
      <c r="K238" s="69">
        <v>124.61</v>
      </c>
      <c r="L238" s="60">
        <f t="shared" si="17"/>
        <v>1.037865888267242E-2</v>
      </c>
      <c r="N238" s="69">
        <v>20.92</v>
      </c>
      <c r="O238" s="60">
        <f t="shared" si="18"/>
        <v>-6.647673314339797E-3</v>
      </c>
    </row>
    <row r="239" spans="1:15" x14ac:dyDescent="0.3">
      <c r="A239" s="1">
        <v>44871</v>
      </c>
      <c r="B239" s="68">
        <v>15352.7</v>
      </c>
      <c r="C239" s="60">
        <f t="shared" si="15"/>
        <v>4.4202464836629929E-2</v>
      </c>
      <c r="E239" s="68">
        <v>271.39</v>
      </c>
      <c r="F239" s="60">
        <f t="shared" si="16"/>
        <v>-1.1761707086155426E-2</v>
      </c>
      <c r="H239" s="69">
        <v>60.72</v>
      </c>
      <c r="I239" s="60">
        <f t="shared" si="19"/>
        <v>-6.5832784726793658E-4</v>
      </c>
      <c r="K239" s="69">
        <v>123.33</v>
      </c>
      <c r="L239" s="60">
        <f t="shared" si="17"/>
        <v>1.2727869929380908E-2</v>
      </c>
      <c r="N239" s="69">
        <v>21.06</v>
      </c>
      <c r="O239" s="60">
        <f t="shared" si="18"/>
        <v>3.0837004405286361E-2</v>
      </c>
    </row>
    <row r="240" spans="1:15" x14ac:dyDescent="0.3">
      <c r="A240" s="1">
        <v>44864</v>
      </c>
      <c r="B240" s="68">
        <v>14702.8</v>
      </c>
      <c r="C240" s="60">
        <f t="shared" si="15"/>
        <v>-6.2721349590419972E-3</v>
      </c>
      <c r="E240" s="68">
        <v>274.62</v>
      </c>
      <c r="F240" s="60">
        <f t="shared" si="16"/>
        <v>3.6427218417611762E-4</v>
      </c>
      <c r="H240" s="69">
        <v>60.76</v>
      </c>
      <c r="I240" s="60">
        <f t="shared" si="19"/>
        <v>2.4620573355817799E-2</v>
      </c>
      <c r="K240" s="69">
        <v>121.78</v>
      </c>
      <c r="L240" s="60">
        <f t="shared" si="17"/>
        <v>3.3084492704445356E-2</v>
      </c>
      <c r="N240" s="69">
        <v>20.43</v>
      </c>
      <c r="O240" s="60">
        <f t="shared" si="18"/>
        <v>-2.5751072961373356E-2</v>
      </c>
    </row>
    <row r="241" spans="1:15" x14ac:dyDescent="0.3">
      <c r="A241" s="1">
        <v>44857</v>
      </c>
      <c r="B241" s="68">
        <v>14795.6</v>
      </c>
      <c r="C241" s="60">
        <f t="shared" si="15"/>
        <v>4.6069004524886825E-2</v>
      </c>
      <c r="E241" s="68">
        <v>274.52</v>
      </c>
      <c r="F241" s="60">
        <f t="shared" si="16"/>
        <v>7.8452170496955187E-2</v>
      </c>
      <c r="H241" s="69">
        <v>59.3</v>
      </c>
      <c r="I241" s="60">
        <f t="shared" si="19"/>
        <v>4.5670957503085807E-2</v>
      </c>
      <c r="K241" s="69">
        <v>117.88</v>
      </c>
      <c r="L241" s="60">
        <f t="shared" si="17"/>
        <v>6.1695037377285322E-2</v>
      </c>
      <c r="N241" s="69">
        <v>20.97</v>
      </c>
      <c r="O241" s="60">
        <f t="shared" si="18"/>
        <v>3.8118811881188153E-2</v>
      </c>
    </row>
    <row r="242" spans="1:15" x14ac:dyDescent="0.3">
      <c r="A242" s="1">
        <v>44850</v>
      </c>
      <c r="B242" s="68">
        <v>14144</v>
      </c>
      <c r="C242" s="60">
        <f t="shared" ref="C242:C305" si="20">B242/B243-1</f>
        <v>3.9442064186135495E-2</v>
      </c>
      <c r="E242" s="68">
        <v>254.55</v>
      </c>
      <c r="F242" s="60">
        <f t="shared" ref="F242:F305" si="21">E242/E243-1</f>
        <v>4.6841585787136042E-2</v>
      </c>
      <c r="H242" s="69">
        <v>56.71</v>
      </c>
      <c r="I242" s="60">
        <f t="shared" si="19"/>
        <v>5.7036346691519135E-2</v>
      </c>
      <c r="K242" s="69">
        <v>111.03</v>
      </c>
      <c r="L242" s="60">
        <f t="shared" ref="L242:L305" si="22">K242/K243-1</f>
        <v>3.9898847991008735E-2</v>
      </c>
      <c r="N242" s="69">
        <v>20.2</v>
      </c>
      <c r="O242" s="60">
        <f t="shared" ref="O242:O305" si="23">N242/N243-1</f>
        <v>3.802672147995878E-2</v>
      </c>
    </row>
    <row r="243" spans="1:15" x14ac:dyDescent="0.3">
      <c r="A243" s="1">
        <v>44843</v>
      </c>
      <c r="B243" s="68">
        <v>13607.3</v>
      </c>
      <c r="C243" s="60">
        <f t="shared" si="20"/>
        <v>-1.3842284919156733E-2</v>
      </c>
      <c r="E243" s="68">
        <v>243.16</v>
      </c>
      <c r="F243" s="60">
        <f t="shared" si="21"/>
        <v>4.2754835112998046E-2</v>
      </c>
      <c r="H243" s="69">
        <v>53.65</v>
      </c>
      <c r="I243" s="60">
        <f t="shared" si="19"/>
        <v>2.5616516918371079E-2</v>
      </c>
      <c r="K243" s="69">
        <v>106.77</v>
      </c>
      <c r="L243" s="60">
        <f t="shared" si="22"/>
        <v>-1.982924814100806E-2</v>
      </c>
      <c r="N243" s="69">
        <v>19.46</v>
      </c>
      <c r="O243" s="60">
        <f t="shared" si="23"/>
        <v>1.884816753926688E-2</v>
      </c>
    </row>
    <row r="244" spans="1:15" x14ac:dyDescent="0.3">
      <c r="A244" s="1">
        <v>44836</v>
      </c>
      <c r="B244" s="68">
        <v>13798.3</v>
      </c>
      <c r="C244" s="60">
        <f t="shared" si="20"/>
        <v>2.4205400751176498E-2</v>
      </c>
      <c r="E244" s="68">
        <v>233.19</v>
      </c>
      <c r="F244" s="60">
        <f t="shared" si="21"/>
        <v>1.0618011614804468E-2</v>
      </c>
      <c r="H244" s="69">
        <v>52.31</v>
      </c>
      <c r="I244" s="60">
        <f t="shared" si="19"/>
        <v>-1.6359533659270342E-2</v>
      </c>
      <c r="K244" s="69">
        <v>108.93</v>
      </c>
      <c r="L244" s="60">
        <f t="shared" si="22"/>
        <v>2.4355839759262699E-2</v>
      </c>
      <c r="N244" s="69">
        <v>19.100000000000001</v>
      </c>
      <c r="O244" s="60">
        <f t="shared" si="23"/>
        <v>2.1936864633493869E-2</v>
      </c>
    </row>
    <row r="245" spans="1:15" x14ac:dyDescent="0.3">
      <c r="A245" s="1">
        <v>44829</v>
      </c>
      <c r="B245" s="68">
        <v>13472.2</v>
      </c>
      <c r="C245" s="60">
        <f t="shared" si="20"/>
        <v>-2.3541349568746761E-2</v>
      </c>
      <c r="E245" s="68">
        <v>230.74</v>
      </c>
      <c r="F245" s="60">
        <f t="shared" si="21"/>
        <v>-6.1841837771904773E-2</v>
      </c>
      <c r="H245" s="69">
        <v>53.18</v>
      </c>
      <c r="I245" s="60">
        <f t="shared" si="19"/>
        <v>-3.9898898718180198E-2</v>
      </c>
      <c r="K245" s="69">
        <v>106.34</v>
      </c>
      <c r="L245" s="60">
        <f t="shared" si="22"/>
        <v>-3.8951649344780903E-2</v>
      </c>
      <c r="N245" s="69">
        <v>18.690000000000001</v>
      </c>
      <c r="O245" s="60">
        <f t="shared" si="23"/>
        <v>-1.9926586261143076E-2</v>
      </c>
    </row>
    <row r="246" spans="1:15" x14ac:dyDescent="0.3">
      <c r="A246" s="1">
        <v>44822</v>
      </c>
      <c r="B246" s="68">
        <v>13797</v>
      </c>
      <c r="C246" s="60">
        <f t="shared" si="20"/>
        <v>-5.3307625275320958E-2</v>
      </c>
      <c r="E246" s="68">
        <v>245.95</v>
      </c>
      <c r="F246" s="60">
        <f t="shared" si="21"/>
        <v>-3.5149660664548277E-2</v>
      </c>
      <c r="H246" s="69">
        <v>55.39</v>
      </c>
      <c r="I246" s="60">
        <f t="shared" si="19"/>
        <v>-6.5147679324894514E-2</v>
      </c>
      <c r="K246" s="69">
        <v>110.65</v>
      </c>
      <c r="L246" s="60">
        <f t="shared" si="22"/>
        <v>-4.3812651227099875E-2</v>
      </c>
      <c r="N246" s="69">
        <v>19.07</v>
      </c>
      <c r="O246" s="60">
        <f t="shared" si="23"/>
        <v>-3.9778449144007966E-2</v>
      </c>
    </row>
    <row r="247" spans="1:15" x14ac:dyDescent="0.3">
      <c r="A247" s="1">
        <v>44815</v>
      </c>
      <c r="B247" s="68">
        <v>14573.9</v>
      </c>
      <c r="C247" s="60">
        <f t="shared" si="20"/>
        <v>-4.0610106116860223E-2</v>
      </c>
      <c r="E247" s="68">
        <v>254.91</v>
      </c>
      <c r="F247" s="60">
        <f t="shared" si="21"/>
        <v>-1.7763563501849489E-2</v>
      </c>
      <c r="H247" s="69">
        <v>59.25</v>
      </c>
      <c r="I247" s="60">
        <f t="shared" ref="I247:I310" si="24">H247/H248-1</f>
        <v>-2.6933815076367273E-2</v>
      </c>
      <c r="K247" s="69">
        <v>115.72</v>
      </c>
      <c r="L247" s="60">
        <f t="shared" si="22"/>
        <v>-3.1871823585150061E-3</v>
      </c>
      <c r="N247" s="69">
        <v>19.86</v>
      </c>
      <c r="O247" s="60">
        <f t="shared" si="23"/>
        <v>-3.2635168046760921E-2</v>
      </c>
    </row>
    <row r="248" spans="1:15" x14ac:dyDescent="0.3">
      <c r="A248" s="1">
        <v>44808</v>
      </c>
      <c r="B248" s="68">
        <v>15190.8</v>
      </c>
      <c r="C248" s="60">
        <f t="shared" si="20"/>
        <v>3.4126416828346828E-2</v>
      </c>
      <c r="E248" s="68">
        <v>259.52</v>
      </c>
      <c r="F248" s="60">
        <f t="shared" si="21"/>
        <v>1.968488468036611E-2</v>
      </c>
      <c r="H248" s="69">
        <v>60.89</v>
      </c>
      <c r="I248" s="60">
        <f t="shared" si="24"/>
        <v>2.8199932455251542E-2</v>
      </c>
      <c r="K248" s="69">
        <v>116.09</v>
      </c>
      <c r="L248" s="60">
        <f t="shared" si="22"/>
        <v>2.9714387085329141E-2</v>
      </c>
      <c r="N248" s="69">
        <v>20.53</v>
      </c>
      <c r="O248" s="60">
        <f t="shared" si="23"/>
        <v>6.2629399585921286E-2</v>
      </c>
    </row>
    <row r="249" spans="1:15" x14ac:dyDescent="0.3">
      <c r="A249" s="1">
        <v>44801</v>
      </c>
      <c r="B249" s="68">
        <v>14689.5</v>
      </c>
      <c r="C249" s="60">
        <f t="shared" si="20"/>
        <v>-3.2197493773965302E-2</v>
      </c>
      <c r="E249" s="68">
        <v>254.51</v>
      </c>
      <c r="F249" s="60">
        <f t="shared" si="21"/>
        <v>-9.4960108970616464E-3</v>
      </c>
      <c r="H249" s="69">
        <v>59.22</v>
      </c>
      <c r="I249" s="60">
        <f t="shared" si="24"/>
        <v>1.352722353736846E-3</v>
      </c>
      <c r="K249" s="69">
        <v>112.74</v>
      </c>
      <c r="L249" s="60">
        <f t="shared" si="22"/>
        <v>5.1711840228245709E-3</v>
      </c>
      <c r="N249" s="69">
        <v>19.32</v>
      </c>
      <c r="O249" s="60">
        <f t="shared" si="23"/>
        <v>-3.6101083032491488E-3</v>
      </c>
    </row>
    <row r="250" spans="1:15" x14ac:dyDescent="0.3">
      <c r="A250" s="1">
        <v>44794</v>
      </c>
      <c r="B250" s="68">
        <v>15178.2</v>
      </c>
      <c r="C250" s="60">
        <f t="shared" si="20"/>
        <v>-2.6308192682973686E-2</v>
      </c>
      <c r="E250" s="68">
        <v>256.95</v>
      </c>
      <c r="F250" s="60">
        <f t="shared" si="21"/>
        <v>-3.5979590305395215E-2</v>
      </c>
      <c r="H250" s="69">
        <v>59.14</v>
      </c>
      <c r="I250" s="60">
        <f t="shared" si="24"/>
        <v>5.0752833699885258E-4</v>
      </c>
      <c r="K250" s="69">
        <v>112.16</v>
      </c>
      <c r="L250" s="60">
        <f t="shared" si="22"/>
        <v>-3.8491213030433014E-2</v>
      </c>
      <c r="N250" s="69">
        <v>19.39</v>
      </c>
      <c r="O250" s="60">
        <f t="shared" si="23"/>
        <v>-8.321513002364056E-2</v>
      </c>
    </row>
    <row r="251" spans="1:15" x14ac:dyDescent="0.3">
      <c r="A251" s="1">
        <v>44787</v>
      </c>
      <c r="B251" s="68">
        <v>15588.3</v>
      </c>
      <c r="C251" s="60">
        <f t="shared" si="20"/>
        <v>-1.3673407405532689E-2</v>
      </c>
      <c r="E251" s="68">
        <v>266.54000000000002</v>
      </c>
      <c r="F251" s="60">
        <f t="shared" si="21"/>
        <v>1.662979632313677E-2</v>
      </c>
      <c r="H251" s="69">
        <v>59.11</v>
      </c>
      <c r="I251" s="60">
        <f t="shared" si="24"/>
        <v>-2.2652116402116396E-2</v>
      </c>
      <c r="K251" s="69">
        <v>116.65</v>
      </c>
      <c r="L251" s="60">
        <f t="shared" si="22"/>
        <v>-1.2779282329045238E-2</v>
      </c>
      <c r="N251" s="69">
        <v>21.15</v>
      </c>
      <c r="O251" s="60">
        <f t="shared" si="23"/>
        <v>-1.1682242990654235E-2</v>
      </c>
    </row>
    <row r="252" spans="1:15" x14ac:dyDescent="0.3">
      <c r="A252" s="1">
        <v>44780</v>
      </c>
      <c r="B252" s="68">
        <v>15804.4</v>
      </c>
      <c r="C252" s="60">
        <f t="shared" si="20"/>
        <v>3.4779875860985188E-2</v>
      </c>
      <c r="E252" s="68">
        <v>262.18</v>
      </c>
      <c r="F252" s="60">
        <f t="shared" si="21"/>
        <v>1.1379855726574739E-2</v>
      </c>
      <c r="H252" s="69">
        <v>60.48</v>
      </c>
      <c r="I252" s="60">
        <f t="shared" si="24"/>
        <v>1.4935391844268953E-2</v>
      </c>
      <c r="K252" s="69">
        <v>118.16</v>
      </c>
      <c r="L252" s="60">
        <f t="shared" si="22"/>
        <v>-2.1955750717784772E-3</v>
      </c>
      <c r="N252" s="69">
        <v>21.4</v>
      </c>
      <c r="O252" s="60">
        <f t="shared" si="23"/>
        <v>2.441359502154139E-2</v>
      </c>
    </row>
    <row r="253" spans="1:15" x14ac:dyDescent="0.3">
      <c r="A253" s="1">
        <v>44773</v>
      </c>
      <c r="B253" s="68">
        <v>15273.2</v>
      </c>
      <c r="C253" s="60">
        <f t="shared" si="20"/>
        <v>-3.555654142500142E-3</v>
      </c>
      <c r="E253" s="68">
        <v>259.23</v>
      </c>
      <c r="F253" s="60">
        <f t="shared" si="21"/>
        <v>-1.5719330219842731E-2</v>
      </c>
      <c r="H253" s="69">
        <v>59.59</v>
      </c>
      <c r="I253" s="60">
        <f t="shared" si="24"/>
        <v>0.11154635329229623</v>
      </c>
      <c r="K253" s="69">
        <v>118.42</v>
      </c>
      <c r="L253" s="60">
        <f t="shared" si="22"/>
        <v>-3.3621674555247338E-2</v>
      </c>
      <c r="N253" s="69">
        <v>20.89</v>
      </c>
      <c r="O253" s="60">
        <f t="shared" si="23"/>
        <v>-6.6571564431764374E-3</v>
      </c>
    </row>
    <row r="254" spans="1:15" x14ac:dyDescent="0.3">
      <c r="A254" s="1">
        <v>44766</v>
      </c>
      <c r="B254" s="68">
        <v>15327.7</v>
      </c>
      <c r="C254" s="60">
        <f t="shared" si="20"/>
        <v>3.6299591638045303E-2</v>
      </c>
      <c r="E254" s="68">
        <v>263.37</v>
      </c>
      <c r="F254" s="60">
        <f t="shared" si="21"/>
        <v>3.693058781841807E-2</v>
      </c>
      <c r="H254" s="69">
        <v>53.61</v>
      </c>
      <c r="I254" s="60">
        <f t="shared" si="24"/>
        <v>2.8982725527830988E-2</v>
      </c>
      <c r="K254" s="69">
        <v>122.54</v>
      </c>
      <c r="L254" s="60">
        <f t="shared" si="22"/>
        <v>2.5868564252825577E-2</v>
      </c>
      <c r="N254" s="69">
        <v>21.03</v>
      </c>
      <c r="O254" s="60">
        <f t="shared" si="23"/>
        <v>1.9883608147429621E-2</v>
      </c>
    </row>
    <row r="255" spans="1:15" x14ac:dyDescent="0.3">
      <c r="A255" s="1">
        <v>44759</v>
      </c>
      <c r="B255" s="68">
        <v>14790.8</v>
      </c>
      <c r="C255" s="60">
        <f t="shared" si="20"/>
        <v>2.3606026422693827E-2</v>
      </c>
      <c r="E255" s="68">
        <v>253.99</v>
      </c>
      <c r="F255" s="60">
        <f t="shared" si="21"/>
        <v>-3.9998431434060677E-3</v>
      </c>
      <c r="H255" s="69">
        <v>52.1</v>
      </c>
      <c r="I255" s="60">
        <f t="shared" si="24"/>
        <v>-1.3417672992140917E-3</v>
      </c>
      <c r="K255" s="69">
        <v>119.45</v>
      </c>
      <c r="L255" s="60">
        <f t="shared" si="22"/>
        <v>1.10029623360135E-2</v>
      </c>
      <c r="N255" s="69">
        <v>20.62</v>
      </c>
      <c r="O255" s="60">
        <f t="shared" si="23"/>
        <v>2.5870646766169125E-2</v>
      </c>
    </row>
    <row r="256" spans="1:15" x14ac:dyDescent="0.3">
      <c r="A256" s="1">
        <v>44752</v>
      </c>
      <c r="B256" s="68">
        <v>14449.7</v>
      </c>
      <c r="C256" s="60">
        <f t="shared" si="20"/>
        <v>-1.3153671212855822E-2</v>
      </c>
      <c r="E256" s="68">
        <v>255.01</v>
      </c>
      <c r="F256" s="60">
        <f t="shared" si="21"/>
        <v>6.9894171536881711E-3</v>
      </c>
      <c r="H256" s="69">
        <v>52.17</v>
      </c>
      <c r="I256" s="60">
        <f t="shared" si="24"/>
        <v>1.9204916458612775E-3</v>
      </c>
      <c r="K256" s="69">
        <v>118.15</v>
      </c>
      <c r="L256" s="60">
        <f t="shared" si="22"/>
        <v>7.4181446111869498E-3</v>
      </c>
      <c r="N256" s="69">
        <v>20.100000000000001</v>
      </c>
      <c r="O256" s="60">
        <f t="shared" si="23"/>
        <v>2.9185867895545226E-2</v>
      </c>
    </row>
    <row r="257" spans="1:15" x14ac:dyDescent="0.3">
      <c r="A257" s="1">
        <v>44745</v>
      </c>
      <c r="B257" s="68">
        <v>14642.3</v>
      </c>
      <c r="C257" s="60">
        <f t="shared" si="20"/>
        <v>3.7576519457815927E-4</v>
      </c>
      <c r="E257" s="68">
        <v>253.24</v>
      </c>
      <c r="F257" s="60">
        <f t="shared" si="21"/>
        <v>1.1068943706515899E-3</v>
      </c>
      <c r="H257" s="69">
        <v>52.07</v>
      </c>
      <c r="I257" s="60">
        <f t="shared" si="24"/>
        <v>9.3041287071136125E-3</v>
      </c>
      <c r="K257" s="69">
        <v>117.28</v>
      </c>
      <c r="L257" s="60">
        <f t="shared" si="22"/>
        <v>4.8839002656155817E-3</v>
      </c>
      <c r="N257" s="69">
        <v>19.53</v>
      </c>
      <c r="O257" s="60">
        <f t="shared" si="23"/>
        <v>8.780991735537258E-3</v>
      </c>
    </row>
    <row r="258" spans="1:15" x14ac:dyDescent="0.3">
      <c r="A258" s="1">
        <v>44738</v>
      </c>
      <c r="B258" s="68">
        <v>14636.8</v>
      </c>
      <c r="C258" s="60">
        <f t="shared" si="20"/>
        <v>-1.1794889106437667E-2</v>
      </c>
      <c r="E258" s="68">
        <v>252.96</v>
      </c>
      <c r="F258" s="60">
        <f t="shared" si="21"/>
        <v>2.0411456232351854E-2</v>
      </c>
      <c r="H258" s="69">
        <v>51.59</v>
      </c>
      <c r="I258" s="60">
        <f t="shared" si="24"/>
        <v>3.6984924623115756E-2</v>
      </c>
      <c r="K258" s="69">
        <v>116.71</v>
      </c>
      <c r="L258" s="60">
        <f t="shared" si="22"/>
        <v>2.001398356930606E-2</v>
      </c>
      <c r="N258" s="69">
        <v>19.36</v>
      </c>
      <c r="O258" s="60">
        <f t="shared" si="23"/>
        <v>1.202300052273908E-2</v>
      </c>
    </row>
    <row r="259" spans="1:15" x14ac:dyDescent="0.3">
      <c r="A259" s="1">
        <v>44731</v>
      </c>
      <c r="B259" s="68">
        <v>14811.5</v>
      </c>
      <c r="C259" s="60">
        <f t="shared" si="20"/>
        <v>5.0684542810527144E-2</v>
      </c>
      <c r="E259" s="68">
        <v>247.9</v>
      </c>
      <c r="F259" s="60">
        <f t="shared" si="21"/>
        <v>5.7684102739141707E-2</v>
      </c>
      <c r="H259" s="69">
        <v>49.75</v>
      </c>
      <c r="I259" s="60">
        <f t="shared" si="24"/>
        <v>4.1012764176606042E-2</v>
      </c>
      <c r="K259" s="69">
        <v>114.42</v>
      </c>
      <c r="L259" s="60">
        <f t="shared" si="22"/>
        <v>4.4931506849315017E-2</v>
      </c>
      <c r="N259" s="69">
        <v>19.13</v>
      </c>
      <c r="O259" s="60">
        <f t="shared" si="23"/>
        <v>7.7139639639639546E-2</v>
      </c>
    </row>
    <row r="260" spans="1:15" x14ac:dyDescent="0.3">
      <c r="A260" s="1">
        <v>44724</v>
      </c>
      <c r="B260" s="68">
        <v>14097</v>
      </c>
      <c r="C260" s="60">
        <f t="shared" si="20"/>
        <v>-6.6219769883484547E-2</v>
      </c>
      <c r="E260" s="68">
        <v>234.38</v>
      </c>
      <c r="F260" s="60">
        <f t="shared" si="21"/>
        <v>-1.2637964445193384E-2</v>
      </c>
      <c r="H260" s="69">
        <v>47.79</v>
      </c>
      <c r="I260" s="60">
        <f t="shared" si="24"/>
        <v>-4.7248803827751096E-2</v>
      </c>
      <c r="K260" s="69">
        <v>109.5</v>
      </c>
      <c r="L260" s="60">
        <f t="shared" si="22"/>
        <v>-4.2915829035923392E-2</v>
      </c>
      <c r="N260" s="69">
        <v>17.760000000000002</v>
      </c>
      <c r="O260" s="60">
        <f t="shared" si="23"/>
        <v>-2.2026431718061623E-2</v>
      </c>
    </row>
    <row r="261" spans="1:15" x14ac:dyDescent="0.3">
      <c r="A261" s="1">
        <v>44717</v>
      </c>
      <c r="B261" s="68">
        <v>15096.7</v>
      </c>
      <c r="C261" s="60">
        <f t="shared" si="20"/>
        <v>-4.4343301344542119E-2</v>
      </c>
      <c r="E261" s="68">
        <v>237.38</v>
      </c>
      <c r="F261" s="60">
        <f t="shared" si="21"/>
        <v>-4.4210017716218464E-2</v>
      </c>
      <c r="H261" s="69">
        <v>50.16</v>
      </c>
      <c r="I261" s="60">
        <f t="shared" si="24"/>
        <v>-3.6681390435951644E-2</v>
      </c>
      <c r="K261" s="69">
        <v>114.41</v>
      </c>
      <c r="L261" s="60">
        <f t="shared" si="22"/>
        <v>-3.5491485415612978E-2</v>
      </c>
      <c r="N261" s="69">
        <v>18.16</v>
      </c>
      <c r="O261" s="60">
        <f t="shared" si="23"/>
        <v>-3.8644785600847054E-2</v>
      </c>
    </row>
    <row r="262" spans="1:15" x14ac:dyDescent="0.3">
      <c r="A262" s="1">
        <v>44710</v>
      </c>
      <c r="B262" s="68">
        <v>15797.2</v>
      </c>
      <c r="C262" s="60">
        <f t="shared" si="20"/>
        <v>-9.1202187848907768E-3</v>
      </c>
      <c r="E262" s="68">
        <v>248.36</v>
      </c>
      <c r="F262" s="60">
        <f t="shared" si="21"/>
        <v>-1.3935760511374906E-2</v>
      </c>
      <c r="H262" s="69">
        <v>52.07</v>
      </c>
      <c r="I262" s="60">
        <f t="shared" si="24"/>
        <v>1.8185373484552292E-2</v>
      </c>
      <c r="K262" s="69">
        <v>118.62</v>
      </c>
      <c r="L262" s="60">
        <f t="shared" si="22"/>
        <v>-9.6017366619353117E-3</v>
      </c>
      <c r="N262" s="69">
        <v>18.89</v>
      </c>
      <c r="O262" s="60">
        <f t="shared" si="23"/>
        <v>1.5906680805939377E-3</v>
      </c>
    </row>
    <row r="263" spans="1:15" x14ac:dyDescent="0.3">
      <c r="A263" s="1">
        <v>44703</v>
      </c>
      <c r="B263" s="68">
        <v>15942.6</v>
      </c>
      <c r="C263" s="60">
        <f t="shared" si="20"/>
        <v>5.7131489954246995E-2</v>
      </c>
      <c r="E263" s="68">
        <v>251.87</v>
      </c>
      <c r="F263" s="60">
        <f t="shared" si="21"/>
        <v>7.6781668162968719E-2</v>
      </c>
      <c r="H263" s="69">
        <v>51.14</v>
      </c>
      <c r="I263" s="60">
        <f t="shared" si="24"/>
        <v>1.5085351329892749E-2</v>
      </c>
      <c r="K263" s="69">
        <v>119.77</v>
      </c>
      <c r="L263" s="60">
        <f t="shared" si="22"/>
        <v>7.0139385275196586E-2</v>
      </c>
      <c r="N263" s="69">
        <v>18.86</v>
      </c>
      <c r="O263" s="60">
        <f t="shared" si="23"/>
        <v>0.13477737665463296</v>
      </c>
    </row>
    <row r="264" spans="1:15" x14ac:dyDescent="0.3">
      <c r="A264" s="1">
        <v>44696</v>
      </c>
      <c r="B264" s="68">
        <v>15081</v>
      </c>
      <c r="C264" s="60">
        <f t="shared" si="20"/>
        <v>-1.1561602894333167E-2</v>
      </c>
      <c r="E264" s="68">
        <v>233.91</v>
      </c>
      <c r="F264" s="60">
        <f t="shared" si="21"/>
        <v>-4.5421155729676754E-2</v>
      </c>
      <c r="H264" s="69">
        <v>50.38</v>
      </c>
      <c r="I264" s="60">
        <f t="shared" si="24"/>
        <v>-2.666151468315292E-2</v>
      </c>
      <c r="K264" s="69">
        <v>111.92</v>
      </c>
      <c r="L264" s="60">
        <f t="shared" si="22"/>
        <v>-8.0652308783124571E-3</v>
      </c>
      <c r="N264" s="69">
        <v>16.62</v>
      </c>
      <c r="O264" s="60">
        <f t="shared" si="23"/>
        <v>-4.0969417195614422E-2</v>
      </c>
    </row>
    <row r="265" spans="1:15" x14ac:dyDescent="0.3">
      <c r="A265" s="1">
        <v>44689</v>
      </c>
      <c r="B265" s="68">
        <v>15257.4</v>
      </c>
      <c r="C265" s="60">
        <f t="shared" si="20"/>
        <v>-1.9863040098672791E-2</v>
      </c>
      <c r="E265" s="68">
        <v>245.04</v>
      </c>
      <c r="F265" s="60">
        <f t="shared" si="21"/>
        <v>-2.2888587606667232E-2</v>
      </c>
      <c r="H265" s="69">
        <v>51.76</v>
      </c>
      <c r="I265" s="60">
        <f t="shared" si="24"/>
        <v>-1.4282993715482806E-2</v>
      </c>
      <c r="K265" s="69">
        <v>112.83</v>
      </c>
      <c r="L265" s="60">
        <f t="shared" si="22"/>
        <v>-2.2185631337204303E-2</v>
      </c>
      <c r="N265" s="69">
        <v>17.329999999999998</v>
      </c>
      <c r="O265" s="60">
        <f t="shared" si="23"/>
        <v>-5.9685295713510667E-2</v>
      </c>
    </row>
    <row r="266" spans="1:15" x14ac:dyDescent="0.3">
      <c r="A266" s="1">
        <v>44682</v>
      </c>
      <c r="B266" s="68">
        <v>15566.6</v>
      </c>
      <c r="C266" s="60">
        <f t="shared" si="20"/>
        <v>-3.1123520672166061E-3</v>
      </c>
      <c r="E266" s="68">
        <v>250.78</v>
      </c>
      <c r="F266" s="60">
        <f t="shared" si="21"/>
        <v>6.5018462032429003E-3</v>
      </c>
      <c r="H266" s="69">
        <v>52.51</v>
      </c>
      <c r="I266" s="60">
        <f t="shared" si="24"/>
        <v>-8.0224207391837554E-2</v>
      </c>
      <c r="K266" s="69">
        <v>115.39</v>
      </c>
      <c r="L266" s="60">
        <f t="shared" si="22"/>
        <v>-1.3844970515340616E-2</v>
      </c>
      <c r="N266" s="69">
        <v>18.43</v>
      </c>
      <c r="O266" s="60">
        <f t="shared" si="23"/>
        <v>-6.7307692307692402E-2</v>
      </c>
    </row>
    <row r="267" spans="1:15" x14ac:dyDescent="0.3">
      <c r="A267" s="1">
        <v>44675</v>
      </c>
      <c r="B267" s="68">
        <v>15615.2</v>
      </c>
      <c r="C267" s="60">
        <f t="shared" si="20"/>
        <v>-2.750842317010127E-2</v>
      </c>
      <c r="E267" s="68">
        <v>249.16</v>
      </c>
      <c r="F267" s="60">
        <f t="shared" si="21"/>
        <v>-4.037254666826473E-3</v>
      </c>
      <c r="H267" s="69">
        <v>57.09</v>
      </c>
      <c r="I267" s="60">
        <f t="shared" si="24"/>
        <v>-1.381931248920365E-2</v>
      </c>
      <c r="K267" s="69">
        <v>117.01</v>
      </c>
      <c r="L267" s="60">
        <f t="shared" si="22"/>
        <v>-4.4035947712418255E-2</v>
      </c>
      <c r="N267" s="69">
        <v>19.760000000000002</v>
      </c>
      <c r="O267" s="60">
        <f t="shared" si="23"/>
        <v>-1.3479780329505697E-2</v>
      </c>
    </row>
    <row r="268" spans="1:15" x14ac:dyDescent="0.3">
      <c r="A268" s="1">
        <v>44668</v>
      </c>
      <c r="B268" s="68">
        <v>16056.9</v>
      </c>
      <c r="C268" s="60">
        <f t="shared" si="20"/>
        <v>-2.7532325954637726E-2</v>
      </c>
      <c r="E268" s="68">
        <v>250.17</v>
      </c>
      <c r="F268" s="60">
        <f t="shared" si="21"/>
        <v>-1.3572312482535986E-3</v>
      </c>
      <c r="H268" s="69">
        <v>57.89</v>
      </c>
      <c r="I268" s="60">
        <f t="shared" si="24"/>
        <v>-4.2032103259970199E-2</v>
      </c>
      <c r="K268" s="69">
        <v>122.4</v>
      </c>
      <c r="L268" s="60">
        <f t="shared" si="22"/>
        <v>-4.6352768968040969E-3</v>
      </c>
      <c r="N268" s="69">
        <v>20.03</v>
      </c>
      <c r="O268" s="60">
        <f t="shared" si="23"/>
        <v>-4.1168022977501217E-2</v>
      </c>
    </row>
    <row r="269" spans="1:15" x14ac:dyDescent="0.3">
      <c r="A269" s="1">
        <v>44661</v>
      </c>
      <c r="B269" s="68">
        <v>16511.5</v>
      </c>
      <c r="C269" s="60">
        <f t="shared" si="20"/>
        <v>-1.0695026962252885E-2</v>
      </c>
      <c r="E269" s="68">
        <v>250.51</v>
      </c>
      <c r="F269" s="60">
        <f t="shared" si="21"/>
        <v>-3.7779368488030096E-3</v>
      </c>
      <c r="H269" s="69">
        <v>60.43</v>
      </c>
      <c r="I269" s="60">
        <f t="shared" si="24"/>
        <v>2.1639898562975546E-2</v>
      </c>
      <c r="K269" s="69">
        <v>122.97</v>
      </c>
      <c r="L269" s="60">
        <f t="shared" si="22"/>
        <v>3.1887219937903888E-2</v>
      </c>
      <c r="N269" s="69">
        <v>20.89</v>
      </c>
      <c r="O269" s="60">
        <f t="shared" si="23"/>
        <v>-7.1292775665398045E-3</v>
      </c>
    </row>
    <row r="270" spans="1:15" x14ac:dyDescent="0.3">
      <c r="A270" s="1">
        <v>44654</v>
      </c>
      <c r="B270" s="68">
        <v>16690</v>
      </c>
      <c r="C270" s="60">
        <f t="shared" si="20"/>
        <v>-5.8256591095914301E-3</v>
      </c>
      <c r="E270" s="68">
        <v>251.46</v>
      </c>
      <c r="F270" s="60">
        <f t="shared" si="21"/>
        <v>8.8665997993981893E-3</v>
      </c>
      <c r="H270" s="69">
        <v>59.15</v>
      </c>
      <c r="I270" s="60">
        <f t="shared" si="24"/>
        <v>1.5973892133287482E-2</v>
      </c>
      <c r="K270" s="69">
        <v>119.17</v>
      </c>
      <c r="L270" s="60">
        <f t="shared" si="22"/>
        <v>2.945632048476865E-3</v>
      </c>
      <c r="N270" s="69">
        <v>21.04</v>
      </c>
      <c r="O270" s="60">
        <f t="shared" si="23"/>
        <v>-3.0414746543778848E-2</v>
      </c>
    </row>
    <row r="271" spans="1:15" x14ac:dyDescent="0.3">
      <c r="A271" s="1">
        <v>44647</v>
      </c>
      <c r="B271" s="68">
        <v>16787.8</v>
      </c>
      <c r="C271" s="60">
        <f t="shared" si="20"/>
        <v>-2.9774665332760186E-4</v>
      </c>
      <c r="E271" s="68">
        <v>249.25</v>
      </c>
      <c r="F271" s="60">
        <f t="shared" si="21"/>
        <v>3.1749316996440013E-2</v>
      </c>
      <c r="H271" s="69">
        <v>58.22</v>
      </c>
      <c r="I271" s="60">
        <f t="shared" si="24"/>
        <v>1.64106145251397E-2</v>
      </c>
      <c r="K271" s="69">
        <v>118.82</v>
      </c>
      <c r="L271" s="60">
        <f t="shared" si="22"/>
        <v>-6.6878448419998016E-3</v>
      </c>
      <c r="N271" s="69">
        <v>21.7</v>
      </c>
      <c r="O271" s="60">
        <f t="shared" si="23"/>
        <v>-1.0036496350365076E-2</v>
      </c>
    </row>
    <row r="272" spans="1:15" x14ac:dyDescent="0.3">
      <c r="A272" s="1">
        <v>44640</v>
      </c>
      <c r="B272" s="68">
        <v>16792.8</v>
      </c>
      <c r="C272" s="60">
        <f t="shared" si="20"/>
        <v>1.0847188278776398E-2</v>
      </c>
      <c r="E272" s="68">
        <v>241.58</v>
      </c>
      <c r="F272" s="60">
        <f t="shared" si="21"/>
        <v>1.1133433785367686E-2</v>
      </c>
      <c r="H272" s="69">
        <v>57.28</v>
      </c>
      <c r="I272" s="60">
        <f t="shared" si="24"/>
        <v>-1.9178082191780743E-2</v>
      </c>
      <c r="K272" s="69">
        <v>119.62</v>
      </c>
      <c r="L272" s="60">
        <f t="shared" si="22"/>
        <v>-1.942782195261894E-2</v>
      </c>
      <c r="N272" s="69">
        <v>21.92</v>
      </c>
      <c r="O272" s="60">
        <f t="shared" si="23"/>
        <v>-1.5274034141958714E-2</v>
      </c>
    </row>
    <row r="273" spans="1:15" x14ac:dyDescent="0.3">
      <c r="A273" s="1">
        <v>44633</v>
      </c>
      <c r="B273" s="68">
        <v>16612.599999999999</v>
      </c>
      <c r="C273" s="60">
        <f t="shared" si="20"/>
        <v>5.4520525336904768E-2</v>
      </c>
      <c r="E273" s="68">
        <v>238.92</v>
      </c>
      <c r="F273" s="60">
        <f t="shared" si="21"/>
        <v>5.3114118217481243E-2</v>
      </c>
      <c r="H273" s="69">
        <v>58.4</v>
      </c>
      <c r="I273" s="60">
        <f t="shared" si="24"/>
        <v>3.417743934832651E-2</v>
      </c>
      <c r="K273" s="69">
        <v>121.99</v>
      </c>
      <c r="L273" s="60">
        <f t="shared" si="22"/>
        <v>4.9286082917598506E-2</v>
      </c>
      <c r="N273" s="69">
        <v>22.26</v>
      </c>
      <c r="O273" s="60">
        <f t="shared" si="23"/>
        <v>4.7036688617121403E-2</v>
      </c>
    </row>
    <row r="274" spans="1:15" x14ac:dyDescent="0.3">
      <c r="A274" s="1">
        <v>44626</v>
      </c>
      <c r="B274" s="68">
        <v>15753.7</v>
      </c>
      <c r="C274" s="60">
        <f t="shared" si="20"/>
        <v>-2.3311034923154228E-2</v>
      </c>
      <c r="E274" s="68">
        <v>226.87</v>
      </c>
      <c r="F274" s="60">
        <f t="shared" si="21"/>
        <v>-3.7911878207031124E-2</v>
      </c>
      <c r="H274" s="69">
        <v>56.47</v>
      </c>
      <c r="I274" s="60">
        <f t="shared" si="24"/>
        <v>1.7477477477477521E-2</v>
      </c>
      <c r="K274" s="69">
        <v>116.26</v>
      </c>
      <c r="L274" s="60">
        <f t="shared" si="22"/>
        <v>-2.0803503747999663E-2</v>
      </c>
      <c r="N274" s="69">
        <v>21.26</v>
      </c>
      <c r="O274" s="60">
        <f t="shared" si="23"/>
        <v>-1.2540640966093752E-2</v>
      </c>
    </row>
    <row r="275" spans="1:15" x14ac:dyDescent="0.3">
      <c r="A275" s="1">
        <v>44619</v>
      </c>
      <c r="B275" s="68">
        <v>16129.7</v>
      </c>
      <c r="C275" s="60">
        <f t="shared" si="20"/>
        <v>-1.815802288775259E-2</v>
      </c>
      <c r="E275" s="68">
        <v>235.81</v>
      </c>
      <c r="F275" s="60">
        <f t="shared" si="21"/>
        <v>-5.468029665263574E-2</v>
      </c>
      <c r="H275" s="69">
        <v>55.5</v>
      </c>
      <c r="I275" s="60">
        <f t="shared" si="24"/>
        <v>-2.6486581301526035E-2</v>
      </c>
      <c r="K275" s="69">
        <v>118.73</v>
      </c>
      <c r="L275" s="60">
        <f t="shared" si="22"/>
        <v>-4.0333010022631677E-2</v>
      </c>
      <c r="N275" s="69">
        <v>21.53</v>
      </c>
      <c r="O275" s="60">
        <f t="shared" si="23"/>
        <v>-5.2376760563380143E-2</v>
      </c>
    </row>
    <row r="276" spans="1:15" x14ac:dyDescent="0.3">
      <c r="A276" s="1">
        <v>44612</v>
      </c>
      <c r="B276" s="68">
        <v>16428</v>
      </c>
      <c r="C276" s="60">
        <f t="shared" si="20"/>
        <v>2.1778517962702804E-3</v>
      </c>
      <c r="E276" s="68">
        <v>249.45</v>
      </c>
      <c r="F276" s="60">
        <f t="shared" si="21"/>
        <v>-4.5889864325618923E-3</v>
      </c>
      <c r="H276" s="69">
        <v>57.01</v>
      </c>
      <c r="I276" s="60">
        <f t="shared" si="24"/>
        <v>-7.0113935144611172E-4</v>
      </c>
      <c r="K276" s="69">
        <v>123.72</v>
      </c>
      <c r="L276" s="60">
        <f t="shared" si="22"/>
        <v>-1.6534181240063561E-2</v>
      </c>
      <c r="N276" s="69">
        <v>22.72</v>
      </c>
      <c r="O276" s="60">
        <f t="shared" si="23"/>
        <v>4.4033465433712671E-4</v>
      </c>
    </row>
    <row r="277" spans="1:15" x14ac:dyDescent="0.3">
      <c r="A277" s="1">
        <v>44605</v>
      </c>
      <c r="B277" s="68">
        <v>16392.3</v>
      </c>
      <c r="C277" s="60">
        <f t="shared" si="20"/>
        <v>-1.6363636363636358E-2</v>
      </c>
      <c r="E277" s="68">
        <v>250.6</v>
      </c>
      <c r="F277" s="60">
        <f t="shared" si="21"/>
        <v>-1.7871139677065329E-2</v>
      </c>
      <c r="H277" s="69">
        <v>57.05</v>
      </c>
      <c r="I277" s="60">
        <f t="shared" si="24"/>
        <v>-7.1353985381135132E-3</v>
      </c>
      <c r="K277" s="69">
        <v>125.8</v>
      </c>
      <c r="L277" s="60">
        <f t="shared" si="22"/>
        <v>3.0556238223969912E-2</v>
      </c>
      <c r="N277" s="69">
        <v>22.71</v>
      </c>
      <c r="O277" s="60">
        <f t="shared" si="23"/>
        <v>-1.002615518744554E-2</v>
      </c>
    </row>
    <row r="278" spans="1:15" x14ac:dyDescent="0.3">
      <c r="A278" s="1">
        <v>44598</v>
      </c>
      <c r="B278" s="68">
        <v>16665</v>
      </c>
      <c r="C278" s="60">
        <f t="shared" si="20"/>
        <v>-2.1914068113233487E-3</v>
      </c>
      <c r="E278" s="68">
        <v>255.16</v>
      </c>
      <c r="F278" s="60">
        <f t="shared" si="21"/>
        <v>-1.8841805737137562E-2</v>
      </c>
      <c r="H278" s="69">
        <v>57.46</v>
      </c>
      <c r="I278" s="60">
        <f t="shared" si="24"/>
        <v>3.0857552924291376E-2</v>
      </c>
      <c r="K278" s="69">
        <v>122.07</v>
      </c>
      <c r="L278" s="60">
        <f t="shared" si="22"/>
        <v>-2.5544823181927079E-2</v>
      </c>
      <c r="N278" s="69">
        <v>22.94</v>
      </c>
      <c r="O278" s="60">
        <f t="shared" si="23"/>
        <v>1.1018069634200156E-2</v>
      </c>
    </row>
    <row r="279" spans="1:15" x14ac:dyDescent="0.3">
      <c r="A279" s="1">
        <v>44591</v>
      </c>
      <c r="B279" s="68">
        <v>16701.599999999999</v>
      </c>
      <c r="C279" s="60">
        <f t="shared" si="20"/>
        <v>1.8520664231395312E-2</v>
      </c>
      <c r="E279" s="68">
        <v>260.06</v>
      </c>
      <c r="F279" s="60">
        <f t="shared" si="21"/>
        <v>1.5502362450701135E-2</v>
      </c>
      <c r="H279" s="69">
        <v>55.74</v>
      </c>
      <c r="I279" s="60">
        <f t="shared" si="24"/>
        <v>1.4007640531198851E-2</v>
      </c>
      <c r="K279" s="69">
        <v>125.27</v>
      </c>
      <c r="L279" s="60">
        <f t="shared" si="22"/>
        <v>2.4787303664921545E-2</v>
      </c>
      <c r="N279" s="69">
        <v>22.69</v>
      </c>
      <c r="O279" s="60">
        <f t="shared" si="23"/>
        <v>3.5382574082265528E-3</v>
      </c>
    </row>
    <row r="280" spans="1:15" x14ac:dyDescent="0.3">
      <c r="A280" s="1">
        <v>44584</v>
      </c>
      <c r="B280" s="68">
        <v>16397.900000000001</v>
      </c>
      <c r="C280" s="60">
        <f t="shared" si="20"/>
        <v>3.6591390045970229E-5</v>
      </c>
      <c r="E280" s="68">
        <v>256.08999999999997</v>
      </c>
      <c r="F280" s="60">
        <f t="shared" si="21"/>
        <v>5.891826073294304E-3</v>
      </c>
      <c r="H280" s="69">
        <v>54.97</v>
      </c>
      <c r="I280" s="60">
        <f t="shared" si="24"/>
        <v>-7.5825961364867078E-3</v>
      </c>
      <c r="K280" s="69">
        <v>122.24</v>
      </c>
      <c r="L280" s="60">
        <f t="shared" si="22"/>
        <v>-1.6097875080489321E-2</v>
      </c>
      <c r="N280" s="69">
        <v>22.61</v>
      </c>
      <c r="O280" s="60">
        <f t="shared" si="23"/>
        <v>2.8662420382165488E-2</v>
      </c>
    </row>
    <row r="281" spans="1:15" x14ac:dyDescent="0.3">
      <c r="A281" s="1">
        <v>44577</v>
      </c>
      <c r="B281" s="68">
        <v>16397.3</v>
      </c>
      <c r="C281" s="60">
        <f t="shared" si="20"/>
        <v>-4.7726071629759947E-2</v>
      </c>
      <c r="E281" s="68">
        <v>254.59</v>
      </c>
      <c r="F281" s="60">
        <f t="shared" si="21"/>
        <v>-1.2106631485002461E-2</v>
      </c>
      <c r="H281" s="69">
        <v>55.39</v>
      </c>
      <c r="I281" s="60">
        <f t="shared" si="24"/>
        <v>-3.1474033922014311E-2</v>
      </c>
      <c r="K281" s="69">
        <v>124.24</v>
      </c>
      <c r="L281" s="60">
        <f t="shared" si="22"/>
        <v>-2.2194238942232047E-2</v>
      </c>
      <c r="N281" s="69">
        <v>21.98</v>
      </c>
      <c r="O281" s="60">
        <f t="shared" si="23"/>
        <v>-5.7461406518010238E-2</v>
      </c>
    </row>
    <row r="282" spans="1:15" x14ac:dyDescent="0.3">
      <c r="A282" s="1">
        <v>44570</v>
      </c>
      <c r="B282" s="68">
        <v>17219.099999999999</v>
      </c>
      <c r="C282" s="60">
        <f t="shared" si="20"/>
        <v>3.0757938519074823E-3</v>
      </c>
      <c r="E282" s="68">
        <v>257.70999999999998</v>
      </c>
      <c r="F282" s="60">
        <f t="shared" si="21"/>
        <v>-3.5010858983000159E-2</v>
      </c>
      <c r="H282" s="69">
        <v>57.19</v>
      </c>
      <c r="I282" s="60">
        <f t="shared" si="24"/>
        <v>-1.9039451114922779E-2</v>
      </c>
      <c r="K282" s="69">
        <v>127.06</v>
      </c>
      <c r="L282" s="60">
        <f t="shared" si="22"/>
        <v>-6.1248614702622772E-2</v>
      </c>
      <c r="N282" s="69">
        <v>23.32</v>
      </c>
      <c r="O282" s="60">
        <f t="shared" si="23"/>
        <v>-3.1159119235562915E-2</v>
      </c>
    </row>
    <row r="283" spans="1:15" x14ac:dyDescent="0.3">
      <c r="A283" s="1">
        <v>44563</v>
      </c>
      <c r="B283" s="68">
        <v>17166.3</v>
      </c>
      <c r="C283" s="60">
        <f t="shared" si="20"/>
        <v>1.2817450376090278E-4</v>
      </c>
      <c r="E283" s="68">
        <v>267.06</v>
      </c>
      <c r="F283" s="60">
        <f t="shared" si="21"/>
        <v>-3.7676726228224044E-3</v>
      </c>
      <c r="H283" s="69">
        <v>58.3</v>
      </c>
      <c r="I283" s="60">
        <f t="shared" si="24"/>
        <v>-3.9222148978246607E-2</v>
      </c>
      <c r="K283" s="69">
        <v>135.35</v>
      </c>
      <c r="L283" s="60">
        <f t="shared" si="22"/>
        <v>-2.5277257669595432E-2</v>
      </c>
      <c r="N283" s="69">
        <v>24.07</v>
      </c>
      <c r="O283" s="60">
        <f t="shared" si="23"/>
        <v>9.2243186582807724E-3</v>
      </c>
    </row>
    <row r="284" spans="1:15" x14ac:dyDescent="0.3">
      <c r="A284" s="1">
        <v>44556</v>
      </c>
      <c r="B284" s="68">
        <v>17164.099999999999</v>
      </c>
      <c r="C284" s="60">
        <f t="shared" si="20"/>
        <v>1.1831354563353935E-2</v>
      </c>
      <c r="E284" s="68">
        <v>268.07</v>
      </c>
      <c r="F284" s="60">
        <f t="shared" si="21"/>
        <v>7.9714231998495588E-3</v>
      </c>
      <c r="H284" s="69">
        <v>60.68</v>
      </c>
      <c r="I284" s="60">
        <f t="shared" si="24"/>
        <v>2.3098971505648214E-2</v>
      </c>
      <c r="K284" s="69">
        <v>138.86000000000001</v>
      </c>
      <c r="L284" s="60">
        <f t="shared" si="22"/>
        <v>2.6008571006354453E-2</v>
      </c>
      <c r="N284" s="69">
        <v>23.85</v>
      </c>
      <c r="O284" s="60">
        <f t="shared" si="23"/>
        <v>2.2288898414059233E-2</v>
      </c>
    </row>
    <row r="285" spans="1:15" x14ac:dyDescent="0.3">
      <c r="A285" s="1">
        <v>44549</v>
      </c>
      <c r="B285" s="68">
        <v>16963.400000000001</v>
      </c>
      <c r="C285" s="60">
        <f t="shared" si="20"/>
        <v>1.7685948429982279E-2</v>
      </c>
      <c r="E285" s="68">
        <v>265.95</v>
      </c>
      <c r="F285" s="60">
        <f t="shared" si="21"/>
        <v>1.6239969430645873E-2</v>
      </c>
      <c r="H285" s="69">
        <v>59.31</v>
      </c>
      <c r="I285" s="60">
        <f t="shared" si="24"/>
        <v>3.1657679596451604E-2</v>
      </c>
      <c r="K285" s="69">
        <v>135.34</v>
      </c>
      <c r="L285" s="60">
        <f t="shared" si="22"/>
        <v>2.5847040097021212E-2</v>
      </c>
      <c r="N285" s="69">
        <v>23.33</v>
      </c>
      <c r="O285" s="60">
        <f t="shared" si="23"/>
        <v>3.87355298308103E-2</v>
      </c>
    </row>
    <row r="286" spans="1:15" x14ac:dyDescent="0.3">
      <c r="A286" s="1">
        <v>44542</v>
      </c>
      <c r="B286" s="68">
        <v>16668.599999999999</v>
      </c>
      <c r="C286" s="60">
        <f t="shared" si="20"/>
        <v>-1.1152901534117188E-2</v>
      </c>
      <c r="E286" s="68">
        <v>261.7</v>
      </c>
      <c r="F286" s="60">
        <f t="shared" si="21"/>
        <v>-1.2341019738083658E-2</v>
      </c>
      <c r="H286" s="69">
        <v>57.49</v>
      </c>
      <c r="I286" s="60">
        <f t="shared" si="24"/>
        <v>-3.4106182795698992E-2</v>
      </c>
      <c r="K286" s="69">
        <v>131.93</v>
      </c>
      <c r="L286" s="60">
        <f t="shared" si="22"/>
        <v>-1.449167102412785E-2</v>
      </c>
      <c r="N286" s="69">
        <v>22.46</v>
      </c>
      <c r="O286" s="60">
        <f t="shared" si="23"/>
        <v>6.2724014336916767E-3</v>
      </c>
    </row>
    <row r="287" spans="1:15" x14ac:dyDescent="0.3">
      <c r="A287" s="1">
        <v>44535</v>
      </c>
      <c r="B287" s="68">
        <v>16856.599999999999</v>
      </c>
      <c r="C287" s="60">
        <f t="shared" si="20"/>
        <v>3.1117146544816121E-2</v>
      </c>
      <c r="E287" s="68">
        <v>264.97000000000003</v>
      </c>
      <c r="F287" s="60">
        <f t="shared" si="21"/>
        <v>6.2728111338386849E-2</v>
      </c>
      <c r="H287" s="69">
        <v>59.52</v>
      </c>
      <c r="I287" s="60">
        <f t="shared" si="24"/>
        <v>6.0962566844919852E-2</v>
      </c>
      <c r="K287" s="69">
        <v>133.87</v>
      </c>
      <c r="L287" s="60">
        <f t="shared" si="22"/>
        <v>7.2418489145237519E-2</v>
      </c>
      <c r="N287" s="69">
        <v>22.32</v>
      </c>
      <c r="O287" s="60">
        <f t="shared" si="23"/>
        <v>5.4820415879017093E-2</v>
      </c>
    </row>
    <row r="288" spans="1:15" x14ac:dyDescent="0.3">
      <c r="A288" s="1">
        <v>44528</v>
      </c>
      <c r="B288" s="68">
        <v>16347.9</v>
      </c>
      <c r="C288" s="60">
        <f t="shared" si="20"/>
        <v>-1.6661754356417258E-2</v>
      </c>
      <c r="E288" s="68">
        <v>249.33</v>
      </c>
      <c r="F288" s="60">
        <f t="shared" si="21"/>
        <v>-2.7198912043517876E-3</v>
      </c>
      <c r="H288" s="69">
        <v>56.1</v>
      </c>
      <c r="I288" s="60">
        <f t="shared" si="24"/>
        <v>-3.2591826176927019E-2</v>
      </c>
      <c r="K288" s="69">
        <v>124.83</v>
      </c>
      <c r="L288" s="60">
        <f t="shared" si="22"/>
        <v>5.0724637681158757E-3</v>
      </c>
      <c r="N288" s="69">
        <v>21.16</v>
      </c>
      <c r="O288" s="60">
        <f t="shared" si="23"/>
        <v>-7.5046904315196894E-3</v>
      </c>
    </row>
    <row r="289" spans="1:15" x14ac:dyDescent="0.3">
      <c r="A289" s="1">
        <v>44521</v>
      </c>
      <c r="B289" s="68">
        <v>16624.900000000001</v>
      </c>
      <c r="C289" s="60">
        <f t="shared" si="20"/>
        <v>-2.0566749145752294E-2</v>
      </c>
      <c r="E289" s="68">
        <v>250.01</v>
      </c>
      <c r="F289" s="60">
        <f t="shared" si="21"/>
        <v>-7.6999404643778302E-3</v>
      </c>
      <c r="H289" s="69">
        <v>57.99</v>
      </c>
      <c r="I289" s="60">
        <f t="shared" si="24"/>
        <v>1.3633980073413765E-2</v>
      </c>
      <c r="K289" s="69">
        <v>124.2</v>
      </c>
      <c r="L289" s="60">
        <f t="shared" si="22"/>
        <v>-2.1739130434782483E-2</v>
      </c>
      <c r="N289" s="69">
        <v>21.32</v>
      </c>
      <c r="O289" s="60">
        <f t="shared" si="23"/>
        <v>-2.8258887876025596E-2</v>
      </c>
    </row>
    <row r="290" spans="1:15" x14ac:dyDescent="0.3">
      <c r="A290" s="1">
        <v>44514</v>
      </c>
      <c r="B290" s="68">
        <v>16974</v>
      </c>
      <c r="C290" s="60">
        <f t="shared" si="20"/>
        <v>-1.8713470577013225E-2</v>
      </c>
      <c r="E290" s="68">
        <v>251.95</v>
      </c>
      <c r="F290" s="60">
        <f t="shared" si="21"/>
        <v>5.1063150755974451E-3</v>
      </c>
      <c r="H290" s="69">
        <v>57.21</v>
      </c>
      <c r="I290" s="60">
        <f t="shared" si="24"/>
        <v>0</v>
      </c>
      <c r="K290" s="69">
        <v>126.96</v>
      </c>
      <c r="L290" s="60">
        <f t="shared" si="22"/>
        <v>1.3895543842836533E-2</v>
      </c>
      <c r="N290" s="69">
        <v>21.94</v>
      </c>
      <c r="O290" s="60">
        <f t="shared" si="23"/>
        <v>9.1996320147196275E-3</v>
      </c>
    </row>
    <row r="291" spans="1:15" x14ac:dyDescent="0.3">
      <c r="A291" s="1">
        <v>44507</v>
      </c>
      <c r="B291" s="68">
        <v>17297.7</v>
      </c>
      <c r="C291" s="60">
        <f t="shared" si="20"/>
        <v>3.2072101331601655E-3</v>
      </c>
      <c r="E291" s="68">
        <v>250.67</v>
      </c>
      <c r="F291" s="60">
        <f t="shared" si="21"/>
        <v>-1.5861175454438436E-2</v>
      </c>
      <c r="H291" s="69">
        <v>57.21</v>
      </c>
      <c r="I291" s="60">
        <f t="shared" si="24"/>
        <v>-3.7354871277132773E-2</v>
      </c>
      <c r="K291" s="69">
        <v>125.22</v>
      </c>
      <c r="L291" s="60">
        <f t="shared" si="22"/>
        <v>-1.1525102620776773E-2</v>
      </c>
      <c r="N291" s="69">
        <v>21.74</v>
      </c>
      <c r="O291" s="60">
        <f t="shared" si="23"/>
        <v>-4.3554773427188831E-2</v>
      </c>
    </row>
    <row r="292" spans="1:15" x14ac:dyDescent="0.3">
      <c r="A292" s="1">
        <v>44500</v>
      </c>
      <c r="B292" s="68">
        <v>17242.400000000001</v>
      </c>
      <c r="C292" s="60">
        <f t="shared" si="20"/>
        <v>1.3281305093909346E-2</v>
      </c>
      <c r="E292" s="68">
        <v>254.71</v>
      </c>
      <c r="F292" s="60">
        <f t="shared" si="21"/>
        <v>3.7304011402972792E-2</v>
      </c>
      <c r="H292" s="69">
        <v>59.43</v>
      </c>
      <c r="I292" s="60">
        <f t="shared" si="24"/>
        <v>4.9258474576271194E-2</v>
      </c>
      <c r="K292" s="69">
        <v>126.68</v>
      </c>
      <c r="L292" s="60">
        <f t="shared" si="22"/>
        <v>1.392668480870829E-2</v>
      </c>
      <c r="N292" s="69">
        <v>22.73</v>
      </c>
      <c r="O292" s="60">
        <f t="shared" si="23"/>
        <v>1.928251121076241E-2</v>
      </c>
    </row>
    <row r="293" spans="1:15" x14ac:dyDescent="0.3">
      <c r="A293" s="1">
        <v>44493</v>
      </c>
      <c r="B293" s="68">
        <v>17016.400000000001</v>
      </c>
      <c r="C293" s="60">
        <f t="shared" si="20"/>
        <v>-6.1791124972258027E-3</v>
      </c>
      <c r="E293" s="68">
        <v>245.55</v>
      </c>
      <c r="F293" s="60">
        <f t="shared" si="21"/>
        <v>2.9818822345244245E-2</v>
      </c>
      <c r="H293" s="69">
        <v>56.64</v>
      </c>
      <c r="I293" s="60">
        <f t="shared" si="24"/>
        <v>-8.5861846352485505E-2</v>
      </c>
      <c r="K293" s="69">
        <v>124.94</v>
      </c>
      <c r="L293" s="60">
        <f t="shared" si="22"/>
        <v>-1.2878249190171442E-2</v>
      </c>
      <c r="N293" s="69">
        <v>22.3</v>
      </c>
      <c r="O293" s="60">
        <f t="shared" si="23"/>
        <v>-1.2837538733952991E-2</v>
      </c>
    </row>
    <row r="294" spans="1:15" x14ac:dyDescent="0.3">
      <c r="A294" s="1">
        <v>44486</v>
      </c>
      <c r="B294" s="68">
        <v>17122.2</v>
      </c>
      <c r="C294" s="60">
        <f t="shared" si="20"/>
        <v>1.4847347925816656E-2</v>
      </c>
      <c r="E294" s="68">
        <v>238.44</v>
      </c>
      <c r="F294" s="60">
        <f t="shared" si="21"/>
        <v>-1.5727554179566616E-2</v>
      </c>
      <c r="H294" s="69">
        <v>61.96</v>
      </c>
      <c r="I294" s="60">
        <f t="shared" si="24"/>
        <v>9.6138178262994423E-3</v>
      </c>
      <c r="K294" s="69">
        <v>126.57</v>
      </c>
      <c r="L294" s="60">
        <f t="shared" si="22"/>
        <v>1.0861752256209556E-2</v>
      </c>
      <c r="N294" s="69">
        <v>22.59</v>
      </c>
      <c r="O294" s="60">
        <f t="shared" si="23"/>
        <v>2.0325203252032464E-2</v>
      </c>
    </row>
    <row r="295" spans="1:15" x14ac:dyDescent="0.3">
      <c r="A295" s="1">
        <v>44479</v>
      </c>
      <c r="B295" s="68">
        <v>16871.7</v>
      </c>
      <c r="C295" s="60">
        <f t="shared" si="20"/>
        <v>2.1462475480105603E-2</v>
      </c>
      <c r="E295" s="68">
        <v>242.25</v>
      </c>
      <c r="F295" s="60">
        <f t="shared" si="21"/>
        <v>-2.2002422285022138E-2</v>
      </c>
      <c r="H295" s="69">
        <v>61.37</v>
      </c>
      <c r="I295" s="60">
        <f t="shared" si="24"/>
        <v>-1.3819701108789939E-2</v>
      </c>
      <c r="K295" s="69">
        <v>125.21</v>
      </c>
      <c r="L295" s="60">
        <f t="shared" si="22"/>
        <v>1.4749979739038688E-2</v>
      </c>
      <c r="N295" s="69">
        <v>22.14</v>
      </c>
      <c r="O295" s="60">
        <f t="shared" si="23"/>
        <v>-4.5146726862288489E-4</v>
      </c>
    </row>
    <row r="296" spans="1:15" x14ac:dyDescent="0.3">
      <c r="A296" s="1">
        <v>44472</v>
      </c>
      <c r="B296" s="68">
        <v>16517.2</v>
      </c>
      <c r="C296" s="60">
        <f t="shared" si="20"/>
        <v>1.1853930175144134E-2</v>
      </c>
      <c r="E296" s="68">
        <v>247.7</v>
      </c>
      <c r="F296" s="60">
        <f t="shared" si="21"/>
        <v>1.9635285884822773E-2</v>
      </c>
      <c r="H296" s="69">
        <v>62.23</v>
      </c>
      <c r="I296" s="60">
        <f t="shared" si="24"/>
        <v>-8.0282594733471768E-4</v>
      </c>
      <c r="K296" s="69">
        <v>123.39</v>
      </c>
      <c r="L296" s="60">
        <f t="shared" si="22"/>
        <v>-2.0219993529602132E-3</v>
      </c>
      <c r="N296" s="69">
        <v>22.15</v>
      </c>
      <c r="O296" s="60">
        <f t="shared" si="23"/>
        <v>-6.7264573991032695E-3</v>
      </c>
    </row>
    <row r="297" spans="1:15" x14ac:dyDescent="0.3">
      <c r="A297" s="1">
        <v>44465</v>
      </c>
      <c r="B297" s="68">
        <v>16323.7</v>
      </c>
      <c r="C297" s="60">
        <f t="shared" si="20"/>
        <v>-1.3029650769081913E-2</v>
      </c>
      <c r="E297" s="68">
        <v>242.93</v>
      </c>
      <c r="F297" s="60">
        <f t="shared" si="21"/>
        <v>-1.4162811460108671E-2</v>
      </c>
      <c r="H297" s="69">
        <v>62.28</v>
      </c>
      <c r="I297" s="60">
        <f t="shared" si="24"/>
        <v>-2.7221777421937432E-3</v>
      </c>
      <c r="K297" s="69">
        <v>123.64</v>
      </c>
      <c r="L297" s="60">
        <f t="shared" si="22"/>
        <v>-1.4977692797960462E-2</v>
      </c>
      <c r="N297" s="69">
        <v>22.3</v>
      </c>
      <c r="O297" s="60">
        <f t="shared" si="23"/>
        <v>-2.3215067893122998E-2</v>
      </c>
    </row>
    <row r="298" spans="1:15" x14ac:dyDescent="0.3">
      <c r="A298" s="1">
        <v>44458</v>
      </c>
      <c r="B298" s="68">
        <v>16539.2</v>
      </c>
      <c r="C298" s="60">
        <f t="shared" si="20"/>
        <v>4.7933512754931851E-3</v>
      </c>
      <c r="E298" s="68">
        <v>246.42</v>
      </c>
      <c r="F298" s="60">
        <f t="shared" si="21"/>
        <v>1.6206853890881945E-2</v>
      </c>
      <c r="H298" s="69">
        <v>62.45</v>
      </c>
      <c r="I298" s="60">
        <f t="shared" si="24"/>
        <v>-7.469802924348401E-3</v>
      </c>
      <c r="K298" s="69">
        <v>125.52</v>
      </c>
      <c r="L298" s="60">
        <f t="shared" si="22"/>
        <v>-1.2353450310803371E-2</v>
      </c>
      <c r="N298" s="69">
        <v>22.83</v>
      </c>
      <c r="O298" s="60">
        <f t="shared" si="23"/>
        <v>1.9651630192049963E-2</v>
      </c>
    </row>
    <row r="299" spans="1:15" x14ac:dyDescent="0.3">
      <c r="A299" s="1">
        <v>44451</v>
      </c>
      <c r="B299" s="68">
        <v>16460.3</v>
      </c>
      <c r="C299" s="60">
        <f t="shared" si="20"/>
        <v>-6.2305672110363197E-3</v>
      </c>
      <c r="E299" s="68">
        <v>242.49</v>
      </c>
      <c r="F299" s="60">
        <f t="shared" si="21"/>
        <v>1.3838949744962026E-2</v>
      </c>
      <c r="H299" s="69">
        <v>62.92</v>
      </c>
      <c r="I299" s="60">
        <f t="shared" si="24"/>
        <v>-3.0359069194020649E-2</v>
      </c>
      <c r="K299" s="69">
        <v>127.09</v>
      </c>
      <c r="L299" s="60">
        <f t="shared" si="22"/>
        <v>-2.1556701824620661E-2</v>
      </c>
      <c r="N299" s="69">
        <v>22.39</v>
      </c>
      <c r="O299" s="60">
        <f t="shared" si="23"/>
        <v>-4.4642857142851433E-4</v>
      </c>
    </row>
    <row r="300" spans="1:15" x14ac:dyDescent="0.3">
      <c r="A300" s="1">
        <v>44444</v>
      </c>
      <c r="B300" s="68">
        <v>16563.5</v>
      </c>
      <c r="C300" s="60">
        <f t="shared" si="20"/>
        <v>-2.0473456063679452E-2</v>
      </c>
      <c r="E300" s="68">
        <v>239.18</v>
      </c>
      <c r="F300" s="60">
        <f t="shared" si="21"/>
        <v>1.5074114395778881E-3</v>
      </c>
      <c r="H300" s="69">
        <v>64.89</v>
      </c>
      <c r="I300" s="60">
        <f t="shared" si="24"/>
        <v>9.4897324206595357E-3</v>
      </c>
      <c r="K300" s="69">
        <v>129.88999999999999</v>
      </c>
      <c r="L300" s="60">
        <f t="shared" si="22"/>
        <v>-7.8673999388939597E-3</v>
      </c>
      <c r="N300" s="69">
        <v>22.4</v>
      </c>
      <c r="O300" s="60">
        <f t="shared" si="23"/>
        <v>-2.183406113537123E-2</v>
      </c>
    </row>
    <row r="301" spans="1:15" x14ac:dyDescent="0.3">
      <c r="A301" s="1">
        <v>44437</v>
      </c>
      <c r="B301" s="68">
        <v>16909.7</v>
      </c>
      <c r="C301" s="60">
        <f t="shared" si="20"/>
        <v>3.8528210486323822E-3</v>
      </c>
      <c r="E301" s="68">
        <v>238.82</v>
      </c>
      <c r="F301" s="60">
        <f t="shared" si="21"/>
        <v>5.6425804278255054E-3</v>
      </c>
      <c r="H301" s="69">
        <v>64.28</v>
      </c>
      <c r="I301" s="60">
        <f t="shared" si="24"/>
        <v>-5.1075684878501004E-3</v>
      </c>
      <c r="K301" s="69">
        <v>130.91999999999999</v>
      </c>
      <c r="L301" s="60">
        <f t="shared" si="22"/>
        <v>-5.9225512528473523E-3</v>
      </c>
      <c r="N301" s="69">
        <v>22.9</v>
      </c>
      <c r="O301" s="60">
        <f t="shared" si="23"/>
        <v>-1.8851756640959727E-2</v>
      </c>
    </row>
    <row r="302" spans="1:15" x14ac:dyDescent="0.3">
      <c r="A302" s="1">
        <v>44430</v>
      </c>
      <c r="B302" s="68">
        <v>16844.8</v>
      </c>
      <c r="C302" s="60">
        <f t="shared" si="20"/>
        <v>1.9864742957128145E-2</v>
      </c>
      <c r="E302" s="68">
        <v>237.48</v>
      </c>
      <c r="F302" s="60">
        <f t="shared" si="21"/>
        <v>-4.2349784058032247E-3</v>
      </c>
      <c r="H302" s="69">
        <v>64.61</v>
      </c>
      <c r="I302" s="60">
        <f t="shared" si="24"/>
        <v>3.2108626198082968E-2</v>
      </c>
      <c r="K302" s="69">
        <v>131.69999999999999</v>
      </c>
      <c r="L302" s="60">
        <f t="shared" si="22"/>
        <v>-2.0526550647032682E-2</v>
      </c>
      <c r="N302" s="69">
        <v>23.34</v>
      </c>
      <c r="O302" s="60">
        <f t="shared" si="23"/>
        <v>-1.6020236087689654E-2</v>
      </c>
    </row>
    <row r="303" spans="1:15" x14ac:dyDescent="0.3">
      <c r="A303" s="1">
        <v>44423</v>
      </c>
      <c r="B303" s="68">
        <v>16516.7</v>
      </c>
      <c r="C303" s="60">
        <f t="shared" si="20"/>
        <v>-2.0832221767715264E-2</v>
      </c>
      <c r="E303" s="68">
        <v>238.49</v>
      </c>
      <c r="F303" s="60">
        <f t="shared" si="21"/>
        <v>-1.3817938196130086E-3</v>
      </c>
      <c r="H303" s="69">
        <v>62.6</v>
      </c>
      <c r="I303" s="60">
        <f t="shared" si="24"/>
        <v>-4.1494411269330844E-2</v>
      </c>
      <c r="K303" s="69">
        <v>134.46</v>
      </c>
      <c r="L303" s="60">
        <f t="shared" si="22"/>
        <v>-3.7048014226437331E-3</v>
      </c>
      <c r="N303" s="69">
        <v>23.72</v>
      </c>
      <c r="O303" s="60">
        <f t="shared" si="23"/>
        <v>8.438818565401629E-4</v>
      </c>
    </row>
    <row r="304" spans="1:15" x14ac:dyDescent="0.3">
      <c r="A304" s="1">
        <v>44416</v>
      </c>
      <c r="B304" s="68">
        <v>16868.099999999999</v>
      </c>
      <c r="C304" s="60">
        <f t="shared" si="20"/>
        <v>7.1649918498217779E-3</v>
      </c>
      <c r="E304" s="68">
        <v>238.82</v>
      </c>
      <c r="F304" s="60">
        <f t="shared" si="21"/>
        <v>1.0835520189621528E-2</v>
      </c>
      <c r="H304" s="69">
        <v>65.31</v>
      </c>
      <c r="I304" s="60">
        <f t="shared" si="24"/>
        <v>2.64026402640265E-2</v>
      </c>
      <c r="K304" s="69">
        <v>134.96</v>
      </c>
      <c r="L304" s="60">
        <f t="shared" si="22"/>
        <v>6.9387450570768117E-3</v>
      </c>
      <c r="N304" s="69">
        <v>23.7</v>
      </c>
      <c r="O304" s="60">
        <f t="shared" si="23"/>
        <v>6.6126855600539658E-2</v>
      </c>
    </row>
    <row r="305" spans="1:15" x14ac:dyDescent="0.3">
      <c r="A305" s="1">
        <v>44409</v>
      </c>
      <c r="B305" s="68">
        <v>16748.099999999999</v>
      </c>
      <c r="C305" s="60">
        <f t="shared" si="20"/>
        <v>8.7819157586599417E-3</v>
      </c>
      <c r="E305" s="68">
        <v>236.26</v>
      </c>
      <c r="F305" s="60">
        <f t="shared" si="21"/>
        <v>-2.6574924807383327E-2</v>
      </c>
      <c r="H305" s="69">
        <v>63.63</v>
      </c>
      <c r="I305" s="60">
        <f t="shared" si="24"/>
        <v>-6.6871975362956415E-2</v>
      </c>
      <c r="K305" s="69">
        <v>134.03</v>
      </c>
      <c r="L305" s="60">
        <f t="shared" si="22"/>
        <v>2.0092853337392524E-2</v>
      </c>
      <c r="N305" s="69">
        <v>22.23</v>
      </c>
      <c r="O305" s="60">
        <f t="shared" si="23"/>
        <v>-4.222317966393796E-2</v>
      </c>
    </row>
    <row r="306" spans="1:15" x14ac:dyDescent="0.3">
      <c r="A306" s="1">
        <v>44402</v>
      </c>
      <c r="B306" s="68">
        <v>16602.3</v>
      </c>
      <c r="C306" s="60">
        <f t="shared" ref="C306:C329" si="25">B306/B307-1</f>
        <v>3.0146685676999407E-3</v>
      </c>
      <c r="E306" s="68">
        <v>242.71</v>
      </c>
      <c r="F306" s="60">
        <f t="shared" ref="F306:F329" si="26">E306/E307-1</f>
        <v>-1.028975963121459E-3</v>
      </c>
      <c r="H306" s="69">
        <v>68.19</v>
      </c>
      <c r="I306" s="60">
        <f t="shared" si="24"/>
        <v>3.4278780524798824E-2</v>
      </c>
      <c r="K306" s="69">
        <v>131.38999999999999</v>
      </c>
      <c r="L306" s="60">
        <f t="shared" ref="L306:L329" si="27">K306/K307-1</f>
        <v>7.0038276732632854E-2</v>
      </c>
      <c r="N306" s="69">
        <v>23.21</v>
      </c>
      <c r="O306" s="60">
        <f t="shared" ref="O306:O329" si="28">N306/N307-1</f>
        <v>1.7090271691498682E-2</v>
      </c>
    </row>
    <row r="307" spans="1:15" x14ac:dyDescent="0.3">
      <c r="A307" s="1">
        <v>44395</v>
      </c>
      <c r="B307" s="68">
        <v>16552.400000000001</v>
      </c>
      <c r="C307" s="60">
        <f t="shared" si="25"/>
        <v>1.146981001790448E-2</v>
      </c>
      <c r="E307" s="68">
        <v>242.96</v>
      </c>
      <c r="F307" s="60">
        <f t="shared" si="26"/>
        <v>3.4973375931842465E-2</v>
      </c>
      <c r="H307" s="69">
        <v>65.930000000000007</v>
      </c>
      <c r="I307" s="60">
        <f t="shared" si="24"/>
        <v>4.5843908629441765E-2</v>
      </c>
      <c r="K307" s="69">
        <v>122.79</v>
      </c>
      <c r="L307" s="60">
        <f t="shared" si="27"/>
        <v>5.9905049633146357E-2</v>
      </c>
      <c r="N307" s="69">
        <v>22.82</v>
      </c>
      <c r="O307" s="60">
        <f t="shared" si="28"/>
        <v>3.3046627433227727E-2</v>
      </c>
    </row>
    <row r="308" spans="1:15" x14ac:dyDescent="0.3">
      <c r="A308" s="1">
        <v>44388</v>
      </c>
      <c r="B308" s="68">
        <v>16364.7</v>
      </c>
      <c r="C308" s="60">
        <f t="shared" si="25"/>
        <v>-1.6148328954566971E-2</v>
      </c>
      <c r="E308" s="68">
        <v>234.75</v>
      </c>
      <c r="F308" s="60">
        <f t="shared" si="26"/>
        <v>-3.946028513238331E-3</v>
      </c>
      <c r="H308" s="69">
        <v>63.04</v>
      </c>
      <c r="I308" s="60">
        <f t="shared" si="24"/>
        <v>-1.990049751243772E-2</v>
      </c>
      <c r="K308" s="69">
        <v>115.85</v>
      </c>
      <c r="L308" s="60">
        <f t="shared" si="27"/>
        <v>-2.3022432113341207E-2</v>
      </c>
      <c r="N308" s="69">
        <v>22.09</v>
      </c>
      <c r="O308" s="60">
        <f t="shared" si="28"/>
        <v>-3.9982616253802727E-2</v>
      </c>
    </row>
    <row r="309" spans="1:15" x14ac:dyDescent="0.3">
      <c r="A309" s="1">
        <v>44381</v>
      </c>
      <c r="B309" s="68">
        <v>16633.3</v>
      </c>
      <c r="C309" s="60">
        <f t="shared" si="25"/>
        <v>-2.488785472689381E-3</v>
      </c>
      <c r="E309" s="68">
        <v>235.68</v>
      </c>
      <c r="F309" s="60">
        <f t="shared" si="26"/>
        <v>8.7745580618927566E-3</v>
      </c>
      <c r="H309" s="69">
        <v>64.319999999999993</v>
      </c>
      <c r="I309" s="60">
        <f t="shared" si="24"/>
        <v>-7.7136686207960325E-3</v>
      </c>
      <c r="K309" s="69">
        <v>118.58</v>
      </c>
      <c r="L309" s="60">
        <f t="shared" si="27"/>
        <v>1.3937580162462604E-2</v>
      </c>
      <c r="N309" s="69">
        <v>23.01</v>
      </c>
      <c r="O309" s="60">
        <f t="shared" si="28"/>
        <v>-6.9054812257228759E-3</v>
      </c>
    </row>
    <row r="310" spans="1:15" x14ac:dyDescent="0.3">
      <c r="A310" s="1">
        <v>44374</v>
      </c>
      <c r="B310" s="68">
        <v>16674.8</v>
      </c>
      <c r="C310" s="60">
        <f t="shared" si="25"/>
        <v>9.6045333397354327E-4</v>
      </c>
      <c r="E310" s="68">
        <v>233.63</v>
      </c>
      <c r="F310" s="60">
        <f t="shared" si="26"/>
        <v>5.2060924188968016E-3</v>
      </c>
      <c r="H310" s="69">
        <v>64.819999999999993</v>
      </c>
      <c r="I310" s="60">
        <f t="shared" si="24"/>
        <v>-4.4540009215174869E-3</v>
      </c>
      <c r="K310" s="69">
        <v>116.95</v>
      </c>
      <c r="L310" s="60">
        <f t="shared" si="27"/>
        <v>-2.5586353944562212E-3</v>
      </c>
      <c r="N310" s="69">
        <v>23.17</v>
      </c>
      <c r="O310" s="60">
        <f t="shared" si="28"/>
        <v>0</v>
      </c>
    </row>
    <row r="311" spans="1:15" x14ac:dyDescent="0.3">
      <c r="A311" s="1">
        <v>44367</v>
      </c>
      <c r="B311" s="68">
        <v>16658.8</v>
      </c>
      <c r="C311" s="60">
        <f t="shared" si="25"/>
        <v>3.1888007928642104E-2</v>
      </c>
      <c r="E311" s="68">
        <v>232.42</v>
      </c>
      <c r="F311" s="60">
        <f t="shared" si="26"/>
        <v>1.2194059750892716E-2</v>
      </c>
      <c r="H311" s="69">
        <v>65.11</v>
      </c>
      <c r="I311" s="60">
        <f t="shared" ref="I311:I330" si="29">H311/H312-1</f>
        <v>-1.6316664148662952E-2</v>
      </c>
      <c r="K311" s="69">
        <v>117.25</v>
      </c>
      <c r="L311" s="60">
        <f t="shared" si="27"/>
        <v>2.2766922540125689E-2</v>
      </c>
      <c r="N311" s="69">
        <v>23.17</v>
      </c>
      <c r="O311" s="60">
        <f t="shared" si="28"/>
        <v>3.0303030303029388E-3</v>
      </c>
    </row>
    <row r="312" spans="1:15" x14ac:dyDescent="0.3">
      <c r="A312" s="1">
        <v>44360</v>
      </c>
      <c r="B312" s="68">
        <v>16144</v>
      </c>
      <c r="C312" s="60">
        <f t="shared" si="25"/>
        <v>-3.2998101216539233E-2</v>
      </c>
      <c r="E312" s="68">
        <v>229.62</v>
      </c>
      <c r="F312" s="60">
        <f t="shared" si="26"/>
        <v>-3.0852994555353952E-2</v>
      </c>
      <c r="H312" s="69">
        <v>66.19</v>
      </c>
      <c r="I312" s="60">
        <f t="shared" si="29"/>
        <v>-2.8046989720998505E-2</v>
      </c>
      <c r="K312" s="69">
        <v>114.64</v>
      </c>
      <c r="L312" s="60">
        <f t="shared" si="27"/>
        <v>-4.1872127037191897E-2</v>
      </c>
      <c r="N312" s="69">
        <v>23.1</v>
      </c>
      <c r="O312" s="60">
        <f t="shared" si="28"/>
        <v>-4.3082021541010707E-2</v>
      </c>
    </row>
    <row r="313" spans="1:15" x14ac:dyDescent="0.3">
      <c r="A313" s="1">
        <v>44353</v>
      </c>
      <c r="B313" s="68">
        <v>16694.900000000001</v>
      </c>
      <c r="C313" s="60">
        <f t="shared" si="25"/>
        <v>-8.259170372320046E-4</v>
      </c>
      <c r="E313" s="68">
        <v>236.93</v>
      </c>
      <c r="F313" s="60">
        <f t="shared" si="26"/>
        <v>1.5211243465592661E-2</v>
      </c>
      <c r="H313" s="69">
        <v>68.099999999999994</v>
      </c>
      <c r="I313" s="60">
        <f t="shared" si="29"/>
        <v>-1.5611448395490224E-2</v>
      </c>
      <c r="K313" s="69">
        <v>119.65</v>
      </c>
      <c r="L313" s="60">
        <f t="shared" si="27"/>
        <v>7.4092784373158693E-3</v>
      </c>
      <c r="N313" s="69">
        <v>24.14</v>
      </c>
      <c r="O313" s="60">
        <f t="shared" si="28"/>
        <v>5.5993000874890786E-2</v>
      </c>
    </row>
    <row r="314" spans="1:15" x14ac:dyDescent="0.3">
      <c r="A314" s="1">
        <v>44346</v>
      </c>
      <c r="B314" s="68">
        <v>16708.7</v>
      </c>
      <c r="C314" s="60">
        <f t="shared" si="25"/>
        <v>9.2415301074555423E-3</v>
      </c>
      <c r="E314" s="68">
        <v>233.38</v>
      </c>
      <c r="F314" s="60">
        <f t="shared" si="26"/>
        <v>-2.1805122065927662E-3</v>
      </c>
      <c r="H314" s="69">
        <v>69.180000000000007</v>
      </c>
      <c r="I314" s="60">
        <f t="shared" si="29"/>
        <v>-7.7452667814112974E-3</v>
      </c>
      <c r="K314" s="69">
        <v>118.77</v>
      </c>
      <c r="L314" s="60">
        <f t="shared" si="27"/>
        <v>-1.0002500625156285E-2</v>
      </c>
      <c r="N314" s="69">
        <v>22.86</v>
      </c>
      <c r="O314" s="60">
        <f t="shared" si="28"/>
        <v>-1.5503875968992276E-2</v>
      </c>
    </row>
    <row r="315" spans="1:15" x14ac:dyDescent="0.3">
      <c r="A315" s="1">
        <v>44339</v>
      </c>
      <c r="B315" s="68">
        <v>16555.7</v>
      </c>
      <c r="C315" s="60">
        <f t="shared" si="25"/>
        <v>1.1035114503816779E-2</v>
      </c>
      <c r="E315" s="68">
        <v>233.89</v>
      </c>
      <c r="F315" s="60">
        <f t="shared" si="26"/>
        <v>1.1459955025082014E-2</v>
      </c>
      <c r="H315" s="69">
        <v>69.72</v>
      </c>
      <c r="I315" s="60">
        <f t="shared" si="29"/>
        <v>2.3037417461482024E-2</v>
      </c>
      <c r="K315" s="69">
        <v>119.97</v>
      </c>
      <c r="L315" s="60">
        <f t="shared" si="27"/>
        <v>2.1719154623673909E-3</v>
      </c>
      <c r="N315" s="69">
        <v>23.22</v>
      </c>
      <c r="O315" s="60">
        <f t="shared" si="28"/>
        <v>-1.5684612123781361E-2</v>
      </c>
    </row>
    <row r="316" spans="1:15" x14ac:dyDescent="0.3">
      <c r="A316" s="1">
        <v>44332</v>
      </c>
      <c r="B316" s="68">
        <v>16375</v>
      </c>
      <c r="C316" s="60">
        <f t="shared" si="25"/>
        <v>-2.46110359784113E-3</v>
      </c>
      <c r="E316" s="68">
        <v>231.24</v>
      </c>
      <c r="F316" s="60">
        <f t="shared" si="26"/>
        <v>-2.0714655618849775E-3</v>
      </c>
      <c r="H316" s="69">
        <v>68.150000000000006</v>
      </c>
      <c r="I316" s="60">
        <f t="shared" si="29"/>
        <v>7.3909830007390376E-3</v>
      </c>
      <c r="K316" s="69">
        <v>119.71</v>
      </c>
      <c r="L316" s="60">
        <f t="shared" si="27"/>
        <v>3.6891087448644999E-3</v>
      </c>
      <c r="N316" s="69">
        <v>23.59</v>
      </c>
      <c r="O316" s="60">
        <f t="shared" si="28"/>
        <v>8.1196581196580908E-3</v>
      </c>
    </row>
    <row r="317" spans="1:15" x14ac:dyDescent="0.3">
      <c r="A317" s="1">
        <v>44325</v>
      </c>
      <c r="B317" s="68">
        <v>16415.400000000001</v>
      </c>
      <c r="C317" s="60">
        <f t="shared" si="25"/>
        <v>-1.0548268878387446E-2</v>
      </c>
      <c r="E317" s="68">
        <v>231.72</v>
      </c>
      <c r="F317" s="60">
        <f t="shared" si="26"/>
        <v>-1.3285641287685279E-2</v>
      </c>
      <c r="H317" s="69">
        <v>67.650000000000006</v>
      </c>
      <c r="I317" s="60">
        <f t="shared" si="29"/>
        <v>-2.6338514680483538E-2</v>
      </c>
      <c r="K317" s="69">
        <v>119.27</v>
      </c>
      <c r="L317" s="60">
        <f t="shared" si="27"/>
        <v>-1.6167615276746705E-2</v>
      </c>
      <c r="N317" s="69">
        <v>23.4</v>
      </c>
      <c r="O317" s="60">
        <f t="shared" si="28"/>
        <v>2.631578947368407E-2</v>
      </c>
    </row>
    <row r="318" spans="1:15" x14ac:dyDescent="0.3">
      <c r="A318" s="1">
        <v>44318</v>
      </c>
      <c r="B318" s="68">
        <v>16590.400000000001</v>
      </c>
      <c r="C318" s="60">
        <f t="shared" si="25"/>
        <v>2.2880148958339896E-2</v>
      </c>
      <c r="E318" s="68">
        <v>234.84</v>
      </c>
      <c r="F318" s="60">
        <f t="shared" si="26"/>
        <v>-5.252456794307081E-3</v>
      </c>
      <c r="H318" s="69">
        <v>69.48</v>
      </c>
      <c r="I318" s="60">
        <f t="shared" si="29"/>
        <v>1.2680367293397499E-2</v>
      </c>
      <c r="K318" s="69">
        <v>121.23</v>
      </c>
      <c r="L318" s="60">
        <f t="shared" si="27"/>
        <v>1.4307228915662717E-2</v>
      </c>
      <c r="N318" s="69">
        <v>22.8</v>
      </c>
      <c r="O318" s="60">
        <f t="shared" si="28"/>
        <v>1.0190518387239722E-2</v>
      </c>
    </row>
    <row r="319" spans="1:15" x14ac:dyDescent="0.3">
      <c r="A319" s="1">
        <v>44311</v>
      </c>
      <c r="B319" s="68">
        <v>16219.3</v>
      </c>
      <c r="C319" s="60">
        <f t="shared" si="25"/>
        <v>8.2068369739607405E-4</v>
      </c>
      <c r="E319" s="68">
        <v>236.08</v>
      </c>
      <c r="F319" s="60">
        <f t="shared" si="26"/>
        <v>6.3944070253219021E-3</v>
      </c>
      <c r="H319" s="69">
        <v>68.61</v>
      </c>
      <c r="I319" s="60">
        <f t="shared" si="29"/>
        <v>3.5622641509434061E-2</v>
      </c>
      <c r="K319" s="69">
        <v>119.52</v>
      </c>
      <c r="L319" s="60">
        <f t="shared" si="27"/>
        <v>1.5290519877675823E-2</v>
      </c>
      <c r="N319" s="69">
        <v>22.57</v>
      </c>
      <c r="O319" s="60">
        <f t="shared" si="28"/>
        <v>-1.3274336283186638E-3</v>
      </c>
    </row>
    <row r="320" spans="1:15" x14ac:dyDescent="0.3">
      <c r="A320" s="1">
        <v>44304</v>
      </c>
      <c r="B320" s="68">
        <v>16206</v>
      </c>
      <c r="C320" s="60">
        <f t="shared" si="25"/>
        <v>1.2170786405787393E-3</v>
      </c>
      <c r="E320" s="68">
        <v>234.58</v>
      </c>
      <c r="F320" s="60">
        <f t="shared" si="26"/>
        <v>6.4355586064870351E-3</v>
      </c>
      <c r="H320" s="69">
        <v>66.25</v>
      </c>
      <c r="I320" s="60">
        <f t="shared" si="29"/>
        <v>-1.95842121120815E-3</v>
      </c>
      <c r="K320" s="69">
        <v>117.72</v>
      </c>
      <c r="L320" s="60">
        <f t="shared" si="27"/>
        <v>-2.8798915805522407E-3</v>
      </c>
      <c r="N320" s="69">
        <v>22.6</v>
      </c>
      <c r="O320" s="60">
        <f t="shared" si="28"/>
        <v>5.7854917668003214E-3</v>
      </c>
    </row>
    <row r="321" spans="1:15" x14ac:dyDescent="0.3">
      <c r="A321" s="1">
        <v>44297</v>
      </c>
      <c r="B321" s="68">
        <v>16186.3</v>
      </c>
      <c r="C321" s="60">
        <f t="shared" si="25"/>
        <v>1.440801183224294E-2</v>
      </c>
      <c r="E321" s="68">
        <v>233.08</v>
      </c>
      <c r="F321" s="60">
        <f t="shared" si="26"/>
        <v>6.912044237083137E-3</v>
      </c>
      <c r="H321" s="69">
        <v>66.38</v>
      </c>
      <c r="I321" s="60">
        <f t="shared" si="29"/>
        <v>-6.2874251497005984E-3</v>
      </c>
      <c r="K321" s="69">
        <v>118.06</v>
      </c>
      <c r="L321" s="60">
        <f t="shared" si="27"/>
        <v>2.6965901183020335E-2</v>
      </c>
      <c r="N321" s="69">
        <v>22.47</v>
      </c>
      <c r="O321" s="60">
        <f t="shared" si="28"/>
        <v>5.5425082198215181E-2</v>
      </c>
    </row>
    <row r="322" spans="1:15" x14ac:dyDescent="0.3">
      <c r="A322" s="1">
        <v>44290</v>
      </c>
      <c r="B322" s="68">
        <v>15956.4</v>
      </c>
      <c r="C322" s="60">
        <f t="shared" si="25"/>
        <v>1.2963268622795399E-2</v>
      </c>
      <c r="E322" s="68">
        <v>231.48</v>
      </c>
      <c r="F322" s="60">
        <f t="shared" si="26"/>
        <v>2.7840682030105146E-2</v>
      </c>
      <c r="H322" s="69">
        <v>66.8</v>
      </c>
      <c r="I322" s="60">
        <f t="shared" si="29"/>
        <v>1.9069412662090057E-2</v>
      </c>
      <c r="K322" s="69">
        <v>114.96</v>
      </c>
      <c r="L322" s="60">
        <f t="shared" si="27"/>
        <v>4.6994535519125691E-2</v>
      </c>
      <c r="N322" s="69">
        <v>21.29</v>
      </c>
      <c r="O322" s="60">
        <f t="shared" si="28"/>
        <v>2.6518804243008676E-2</v>
      </c>
    </row>
    <row r="323" spans="1:15" x14ac:dyDescent="0.3">
      <c r="A323" s="1">
        <v>44283</v>
      </c>
      <c r="B323" s="68">
        <v>15752.2</v>
      </c>
      <c r="C323" s="60">
        <f t="shared" si="25"/>
        <v>4.4444444444444731E-3</v>
      </c>
      <c r="E323" s="68">
        <v>225.21</v>
      </c>
      <c r="F323" s="60">
        <f t="shared" si="26"/>
        <v>0</v>
      </c>
      <c r="H323" s="69">
        <v>65.55</v>
      </c>
      <c r="I323" s="60">
        <f t="shared" si="29"/>
        <v>-3.4893992932862217E-2</v>
      </c>
      <c r="K323" s="69">
        <v>109.8</v>
      </c>
      <c r="L323" s="60">
        <f t="shared" si="27"/>
        <v>1.6102165463631302E-2</v>
      </c>
      <c r="N323" s="69">
        <v>20.74</v>
      </c>
      <c r="O323" s="60">
        <f t="shared" si="28"/>
        <v>0</v>
      </c>
    </row>
    <row r="324" spans="1:15" x14ac:dyDescent="0.3">
      <c r="A324" s="1">
        <v>44276</v>
      </c>
      <c r="B324" s="68">
        <v>15682.5</v>
      </c>
      <c r="C324" s="60">
        <f t="shared" si="25"/>
        <v>7.7237940407266503E-3</v>
      </c>
      <c r="E324" s="68">
        <v>225.21</v>
      </c>
      <c r="F324" s="60">
        <f t="shared" si="26"/>
        <v>1.2452796259665666E-2</v>
      </c>
      <c r="H324" s="69">
        <v>67.92</v>
      </c>
      <c r="I324" s="60">
        <f t="shared" si="29"/>
        <v>4.8471750540290293E-2</v>
      </c>
      <c r="K324" s="69">
        <v>108.06</v>
      </c>
      <c r="L324" s="60">
        <f t="shared" si="27"/>
        <v>9.2626898851433381E-4</v>
      </c>
      <c r="N324" s="69">
        <v>20.74</v>
      </c>
      <c r="O324" s="60">
        <f t="shared" si="28"/>
        <v>4.3583535108959737E-3</v>
      </c>
    </row>
    <row r="325" spans="1:15" x14ac:dyDescent="0.3">
      <c r="A325" s="1">
        <v>44269</v>
      </c>
      <c r="B325" s="68">
        <v>15562.3</v>
      </c>
      <c r="C325" s="60">
        <f t="shared" si="25"/>
        <v>-9.7294339238445104E-3</v>
      </c>
      <c r="E325" s="68">
        <v>222.44</v>
      </c>
      <c r="F325" s="60">
        <f t="shared" si="26"/>
        <v>4.7565225581614357E-2</v>
      </c>
      <c r="H325" s="69">
        <v>64.78</v>
      </c>
      <c r="I325" s="60">
        <f t="shared" si="29"/>
        <v>2.0318160340210945E-2</v>
      </c>
      <c r="K325" s="69">
        <v>107.96</v>
      </c>
      <c r="L325" s="60">
        <f t="shared" si="27"/>
        <v>3.0054384123652245E-2</v>
      </c>
      <c r="N325" s="69">
        <v>20.65</v>
      </c>
      <c r="O325" s="60">
        <f t="shared" si="28"/>
        <v>6.8259385665527805E-3</v>
      </c>
    </row>
    <row r="326" spans="1:15" x14ac:dyDescent="0.3">
      <c r="A326" s="1">
        <v>44262</v>
      </c>
      <c r="B326" s="68">
        <v>15715.2</v>
      </c>
      <c r="C326" s="60">
        <f t="shared" si="25"/>
        <v>3.0383299020443566E-2</v>
      </c>
      <c r="E326" s="68">
        <v>212.34</v>
      </c>
      <c r="F326" s="60">
        <f t="shared" si="26"/>
        <v>2.3966822587645265E-2</v>
      </c>
      <c r="H326" s="69">
        <v>63.49</v>
      </c>
      <c r="I326" s="60">
        <f t="shared" si="29"/>
        <v>1.6327837361933772E-2</v>
      </c>
      <c r="K326" s="69">
        <v>104.81</v>
      </c>
      <c r="L326" s="60">
        <f t="shared" si="27"/>
        <v>4.6007859676029383E-3</v>
      </c>
      <c r="N326" s="69">
        <v>20.51</v>
      </c>
      <c r="O326" s="60">
        <f t="shared" si="28"/>
        <v>4.323499491353E-2</v>
      </c>
    </row>
    <row r="327" spans="1:15" x14ac:dyDescent="0.3">
      <c r="A327" s="1">
        <v>44255</v>
      </c>
      <c r="B327" s="68">
        <v>15251.8</v>
      </c>
      <c r="C327" s="60">
        <f t="shared" si="25"/>
        <v>1.6075413876952771E-2</v>
      </c>
      <c r="E327" s="68">
        <v>207.37</v>
      </c>
      <c r="F327" s="60">
        <f t="shared" si="26"/>
        <v>5.9668186669254997E-3</v>
      </c>
      <c r="H327" s="69">
        <v>62.47</v>
      </c>
      <c r="I327" s="60">
        <f t="shared" si="29"/>
        <v>4.2556742323097474E-2</v>
      </c>
      <c r="K327" s="69">
        <v>104.33</v>
      </c>
      <c r="L327" s="60">
        <f t="shared" si="27"/>
        <v>7.7272288225633812E-3</v>
      </c>
      <c r="N327" s="69">
        <v>19.66</v>
      </c>
      <c r="O327" s="60">
        <f t="shared" si="28"/>
        <v>-3.7689672050905565E-2</v>
      </c>
    </row>
    <row r="328" spans="1:15" x14ac:dyDescent="0.3">
      <c r="A328" s="1">
        <v>44248</v>
      </c>
      <c r="B328" s="68">
        <v>15010.5</v>
      </c>
      <c r="C328" s="60">
        <f t="shared" si="25"/>
        <v>-2.2925657599250138E-2</v>
      </c>
      <c r="E328" s="68">
        <v>206.14</v>
      </c>
      <c r="F328" s="60">
        <f t="shared" si="26"/>
        <v>-2.8741047870335601E-2</v>
      </c>
      <c r="H328" s="69">
        <v>59.92</v>
      </c>
      <c r="I328" s="60">
        <f t="shared" si="29"/>
        <v>-1.7221584385763489E-2</v>
      </c>
      <c r="K328" s="69">
        <v>103.53</v>
      </c>
      <c r="L328" s="60">
        <f t="shared" si="27"/>
        <v>-1.5219252354228052E-2</v>
      </c>
      <c r="N328" s="69">
        <v>20.43</v>
      </c>
      <c r="O328" s="60">
        <f t="shared" si="28"/>
        <v>-1.1132623426911903E-2</v>
      </c>
    </row>
    <row r="329" spans="1:15" x14ac:dyDescent="0.3">
      <c r="A329" s="1">
        <v>44241</v>
      </c>
      <c r="B329" s="68">
        <v>15362.7</v>
      </c>
      <c r="C329" s="60">
        <f t="shared" si="25"/>
        <v>-4.4893816364766082E-4</v>
      </c>
      <c r="E329" s="68">
        <v>212.24</v>
      </c>
      <c r="F329" s="60">
        <f t="shared" si="26"/>
        <v>-7.760635811126626E-3</v>
      </c>
      <c r="H329" s="69">
        <v>60.97</v>
      </c>
      <c r="I329" s="60">
        <f t="shared" si="29"/>
        <v>3.2514817950889174E-2</v>
      </c>
      <c r="K329" s="69">
        <v>105.13</v>
      </c>
      <c r="L329" s="60">
        <f t="shared" si="27"/>
        <v>-3.2236654972978007E-3</v>
      </c>
      <c r="N329" s="69">
        <v>20.66</v>
      </c>
      <c r="O329" s="60">
        <f t="shared" si="28"/>
        <v>-1.8060836501901045E-2</v>
      </c>
    </row>
    <row r="330" spans="1:15" x14ac:dyDescent="0.3">
      <c r="A330" s="1">
        <v>44234</v>
      </c>
      <c r="B330" s="68">
        <v>15369.6</v>
      </c>
      <c r="C330" s="60">
        <f>B330/B331-1</f>
        <v>1.990762860328088E-2</v>
      </c>
      <c r="E330" s="68">
        <v>213.9</v>
      </c>
      <c r="F330" s="60">
        <f>E330/E331-1</f>
        <v>6.2094270392323292E-3</v>
      </c>
      <c r="H330" s="69">
        <v>59.05</v>
      </c>
      <c r="I330" s="60">
        <f t="shared" si="29"/>
        <v>-9.3943969132695981E-3</v>
      </c>
      <c r="K330" s="69">
        <v>105.47</v>
      </c>
      <c r="L330" s="60">
        <f>K330/K331-1</f>
        <v>1.2340991076513763E-3</v>
      </c>
      <c r="N330" s="69">
        <v>21.04</v>
      </c>
      <c r="O330" s="60">
        <f>N330/N331-1</f>
        <v>-9.4161958568738102E-3</v>
      </c>
    </row>
    <row r="331" spans="1:15" x14ac:dyDescent="0.3">
      <c r="A331" s="1">
        <v>44227</v>
      </c>
      <c r="B331" s="68">
        <v>15069.6</v>
      </c>
      <c r="E331" s="68">
        <v>212.58</v>
      </c>
      <c r="H331" s="69">
        <v>59.61</v>
      </c>
      <c r="K331" s="69">
        <v>105.34</v>
      </c>
      <c r="N331" s="69">
        <v>21.24</v>
      </c>
    </row>
  </sheetData>
  <mergeCells count="6">
    <mergeCell ref="A1:A2"/>
    <mergeCell ref="E44:F44"/>
    <mergeCell ref="H44:I44"/>
    <mergeCell ref="K44:L44"/>
    <mergeCell ref="N44:O44"/>
    <mergeCell ref="B44:C44"/>
  </mergeCells>
  <hyperlinks>
    <hyperlink ref="J32" r:id="rId1" xr:uid="{F893BF57-B7A5-4DBD-B24C-649236F2326A}"/>
    <hyperlink ref="J34" r:id="rId2" xr:uid="{48CBB8F4-DDFD-449F-8DE9-157E0DD2769C}"/>
    <hyperlink ref="J35" r:id="rId3" xr:uid="{1E38C0DA-5DF5-4C41-AB86-EF6B3E1FAD64}"/>
    <hyperlink ref="J33" r:id="rId4" xr:uid="{EB765F59-5EBF-4039-8995-D97F1F96DAD8}"/>
    <hyperlink ref="J4" r:id="rId5" xr:uid="{4747DCEF-DC26-4FB5-AB08-AB475A49ADDC}"/>
    <hyperlink ref="J5" r:id="rId6" xr:uid="{87571F77-ED53-428F-A8C6-C01C2052F4D7}"/>
    <hyperlink ref="J6" r:id="rId7" xr:uid="{A2EE141E-16F7-47DF-90AE-E5CF0A323289}"/>
    <hyperlink ref="J7" r:id="rId8" xr:uid="{A42D8CFA-5B6F-4DBC-8643-C5796CA1696C}"/>
    <hyperlink ref="J8" r:id="rId9" xr:uid="{7EC4D3DC-906F-4A48-8362-2CEAC5A6F0CD}"/>
    <hyperlink ref="C5" r:id="rId10" xr:uid="{6E2A4C76-86DC-45D5-A7E4-3B9E891B7AC4}"/>
  </hyperlinks>
  <pageMargins left="0.7" right="0.7" top="0.75" bottom="0.75" header="0.3" footer="0.3"/>
  <pageSetup orientation="portrait" r:id="rId1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B4F7-7844-4883-B02F-95DD2194E70F}">
  <sheetPr>
    <tabColor theme="9" tint="0.59999389629810485"/>
  </sheetPr>
  <dimension ref="A1:I18"/>
  <sheetViews>
    <sheetView workbookViewId="0">
      <selection activeCell="C5" sqref="C5"/>
    </sheetView>
  </sheetViews>
  <sheetFormatPr defaultRowHeight="14.4" x14ac:dyDescent="0.3"/>
  <cols>
    <col min="1" max="1" width="18" bestFit="1" customWidth="1"/>
    <col min="2" max="2" width="12" bestFit="1" customWidth="1"/>
    <col min="3" max="3" width="13.44140625" bestFit="1" customWidth="1"/>
    <col min="4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s="111" t="s">
        <v>247</v>
      </c>
    </row>
    <row r="2" spans="1:9" ht="15" thickBot="1" x14ac:dyDescent="0.35"/>
    <row r="3" spans="1:9" x14ac:dyDescent="0.3">
      <c r="A3" s="258" t="s">
        <v>248</v>
      </c>
      <c r="B3" s="257"/>
    </row>
    <row r="4" spans="1:9" x14ac:dyDescent="0.3">
      <c r="A4" s="111" t="s">
        <v>249</v>
      </c>
      <c r="B4">
        <v>0.48436144075495219</v>
      </c>
    </row>
    <row r="5" spans="1:9" x14ac:dyDescent="0.3">
      <c r="A5" s="111" t="s">
        <v>250</v>
      </c>
      <c r="B5">
        <v>0.23460600529021308</v>
      </c>
    </row>
    <row r="6" spans="1:9" x14ac:dyDescent="0.3">
      <c r="A6" s="111" t="s">
        <v>251</v>
      </c>
      <c r="B6">
        <v>0.23186265763892355</v>
      </c>
    </row>
    <row r="7" spans="1:9" x14ac:dyDescent="0.3">
      <c r="A7" s="111" t="s">
        <v>252</v>
      </c>
      <c r="B7">
        <v>2.1194006172050521E-2</v>
      </c>
    </row>
    <row r="8" spans="1:9" ht="15" thickBot="1" x14ac:dyDescent="0.35">
      <c r="A8" s="259" t="s">
        <v>253</v>
      </c>
      <c r="B8" s="33">
        <v>281</v>
      </c>
    </row>
    <row r="10" spans="1:9" ht="15" thickBot="1" x14ac:dyDescent="0.35">
      <c r="A10" t="s">
        <v>254</v>
      </c>
    </row>
    <row r="11" spans="1:9" x14ac:dyDescent="0.3">
      <c r="A11" s="256"/>
      <c r="B11" s="256" t="s">
        <v>259</v>
      </c>
      <c r="C11" s="256" t="s">
        <v>260</v>
      </c>
      <c r="D11" s="256" t="s">
        <v>261</v>
      </c>
      <c r="E11" s="256" t="s">
        <v>262</v>
      </c>
      <c r="F11" s="256" t="s">
        <v>263</v>
      </c>
    </row>
    <row r="12" spans="1:9" x14ac:dyDescent="0.3">
      <c r="A12" t="s">
        <v>255</v>
      </c>
      <c r="B12">
        <v>1</v>
      </c>
      <c r="C12">
        <v>3.8413545226032547E-2</v>
      </c>
      <c r="D12">
        <v>3.8413545226032547E-2</v>
      </c>
      <c r="E12">
        <v>85.518146116090094</v>
      </c>
      <c r="F12">
        <v>6.1750299370763572E-18</v>
      </c>
    </row>
    <row r="13" spans="1:9" x14ac:dyDescent="0.3">
      <c r="A13" t="s">
        <v>256</v>
      </c>
      <c r="B13">
        <v>279</v>
      </c>
      <c r="C13">
        <v>0.12532286543623544</v>
      </c>
      <c r="D13">
        <v>4.4918589762091559E-4</v>
      </c>
    </row>
    <row r="14" spans="1:9" ht="15" thickBot="1" x14ac:dyDescent="0.35">
      <c r="A14" s="33" t="s">
        <v>257</v>
      </c>
      <c r="B14" s="33">
        <v>280</v>
      </c>
      <c r="C14" s="33">
        <v>0.16373641066226799</v>
      </c>
      <c r="D14" s="33"/>
      <c r="E14" s="33"/>
      <c r="F14" s="33"/>
    </row>
    <row r="15" spans="1:9" ht="15" thickBot="1" x14ac:dyDescent="0.35"/>
    <row r="16" spans="1:9" x14ac:dyDescent="0.3">
      <c r="A16" s="256"/>
      <c r="B16" s="256" t="s">
        <v>264</v>
      </c>
      <c r="C16" s="256" t="s">
        <v>252</v>
      </c>
      <c r="D16" s="256" t="s">
        <v>265</v>
      </c>
      <c r="E16" s="256" t="s">
        <v>266</v>
      </c>
      <c r="F16" s="256" t="s">
        <v>267</v>
      </c>
      <c r="G16" s="256" t="s">
        <v>268</v>
      </c>
      <c r="H16" s="256" t="s">
        <v>269</v>
      </c>
      <c r="I16" s="256" t="s">
        <v>270</v>
      </c>
    </row>
    <row r="17" spans="1:9" x14ac:dyDescent="0.3">
      <c r="A17" t="s">
        <v>258</v>
      </c>
      <c r="B17">
        <v>6.96053226374655E-5</v>
      </c>
      <c r="C17">
        <v>1.2696062966811197E-3</v>
      </c>
      <c r="D17">
        <v>5.4824336346961183E-2</v>
      </c>
      <c r="E17">
        <v>0.95631764970519972</v>
      </c>
      <c r="F17">
        <v>-2.4296186418648943E-3</v>
      </c>
      <c r="G17">
        <v>2.5688292871398257E-3</v>
      </c>
      <c r="H17">
        <v>-2.4296186418648943E-3</v>
      </c>
      <c r="I17">
        <v>2.5688292871398257E-3</v>
      </c>
    </row>
    <row r="18" spans="1:9" ht="15" thickBot="1" x14ac:dyDescent="0.35">
      <c r="A18" s="33" t="s">
        <v>271</v>
      </c>
      <c r="B18" s="33">
        <v>0.59182077097439856</v>
      </c>
      <c r="C18" s="33">
        <v>6.3997213475280715E-2</v>
      </c>
      <c r="D18" s="33">
        <v>9.247602181976136</v>
      </c>
      <c r="E18" s="33">
        <v>6.1750299370771993E-18</v>
      </c>
      <c r="F18" s="33">
        <v>0.46584205615792107</v>
      </c>
      <c r="G18" s="33">
        <v>0.71779948579087605</v>
      </c>
      <c r="H18" s="33">
        <v>0.46584205615792107</v>
      </c>
      <c r="I18" s="33">
        <v>0.71779948579087605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501B-A90E-473A-8E8C-71E552218B3C}">
  <sheetPr>
    <tabColor theme="5" tint="0.59999389629810485"/>
  </sheetPr>
  <dimension ref="A1:Q36"/>
  <sheetViews>
    <sheetView showGridLines="0" zoomScale="80" workbookViewId="0">
      <selection activeCell="H23" sqref="H23"/>
    </sheetView>
  </sheetViews>
  <sheetFormatPr defaultRowHeight="14.4" x14ac:dyDescent="0.3"/>
  <cols>
    <col min="1" max="1" width="31" bestFit="1" customWidth="1"/>
    <col min="2" max="2" width="13.33203125" bestFit="1" customWidth="1"/>
    <col min="3" max="6" width="12.21875" bestFit="1" customWidth="1"/>
    <col min="7" max="7" width="13.21875" bestFit="1" customWidth="1"/>
    <col min="8" max="10" width="10" bestFit="1" customWidth="1"/>
    <col min="11" max="11" width="9.44140625" bestFit="1" customWidth="1"/>
  </cols>
  <sheetData>
    <row r="1" spans="1:12" ht="15" thickBot="1" x14ac:dyDescent="0.35">
      <c r="C1">
        <v>1</v>
      </c>
      <c r="D1">
        <v>2</v>
      </c>
      <c r="E1">
        <v>3</v>
      </c>
      <c r="F1">
        <v>4</v>
      </c>
      <c r="G1">
        <v>5</v>
      </c>
    </row>
    <row r="2" spans="1:12" x14ac:dyDescent="0.3">
      <c r="A2" s="298" t="s">
        <v>0</v>
      </c>
      <c r="B2" s="223"/>
      <c r="C2" s="300" t="s">
        <v>2</v>
      </c>
      <c r="D2" s="301"/>
      <c r="E2" s="301"/>
      <c r="F2" s="301"/>
      <c r="G2" s="302"/>
    </row>
    <row r="3" spans="1:12" ht="15" thickBot="1" x14ac:dyDescent="0.35">
      <c r="A3" s="299"/>
      <c r="B3" s="223" t="s">
        <v>3</v>
      </c>
      <c r="C3" s="228">
        <v>2026</v>
      </c>
      <c r="D3" s="229">
        <f t="shared" ref="D3:G3" si="0">C3+1</f>
        <v>2027</v>
      </c>
      <c r="E3" s="229">
        <f t="shared" si="0"/>
        <v>2028</v>
      </c>
      <c r="F3" s="229">
        <f t="shared" si="0"/>
        <v>2029</v>
      </c>
      <c r="G3" s="230">
        <f t="shared" si="0"/>
        <v>2030</v>
      </c>
    </row>
    <row r="4" spans="1:12" x14ac:dyDescent="0.3">
      <c r="A4" s="39" t="s">
        <v>225</v>
      </c>
      <c r="C4" s="232">
        <f>'P&amp;L'!G10</f>
        <v>12849.520803455383</v>
      </c>
      <c r="D4" s="232">
        <f>'P&amp;L'!H10</f>
        <v>13536.373637856053</v>
      </c>
      <c r="E4" s="232">
        <f>'P&amp;L'!I10</f>
        <v>14205.588021885007</v>
      </c>
      <c r="F4" s="232">
        <f>'P&amp;L'!J10</f>
        <v>14994.730741905763</v>
      </c>
      <c r="G4" s="232">
        <f>'P&amp;L'!K10</f>
        <v>15862.569952931248</v>
      </c>
    </row>
    <row r="5" spans="1:12" x14ac:dyDescent="0.3">
      <c r="A5" s="40" t="s">
        <v>226</v>
      </c>
      <c r="C5" s="231">
        <f>'P&amp;L'!G35</f>
        <v>0.18265728297809505</v>
      </c>
      <c r="D5" s="46">
        <f>C5+($G$5-$C$5)/4</f>
        <v>0.2009929622335713</v>
      </c>
      <c r="E5" s="46">
        <f t="shared" ref="E5:F5" si="1">D5+($G$5-$C$5)/4</f>
        <v>0.21932864148904754</v>
      </c>
      <c r="F5" s="46">
        <f t="shared" si="1"/>
        <v>0.23766432074452379</v>
      </c>
      <c r="G5" s="240">
        <v>0.25600000000000001</v>
      </c>
    </row>
    <row r="6" spans="1:12" x14ac:dyDescent="0.3">
      <c r="A6" s="40" t="s">
        <v>227</v>
      </c>
      <c r="C6" s="12">
        <f>C5*C4</f>
        <v>2347.0585575296691</v>
      </c>
      <c r="D6" s="12">
        <f t="shared" ref="D6:G6" si="2">D5*D4</f>
        <v>2720.715835373112</v>
      </c>
      <c r="E6" s="12">
        <f t="shared" si="2"/>
        <v>3115.6923223931249</v>
      </c>
      <c r="F6" s="12">
        <f t="shared" si="2"/>
        <v>3563.7124965220623</v>
      </c>
      <c r="G6" s="12">
        <f t="shared" si="2"/>
        <v>4060.8179079503993</v>
      </c>
    </row>
    <row r="7" spans="1:12" x14ac:dyDescent="0.3">
      <c r="A7" s="39" t="s">
        <v>228</v>
      </c>
      <c r="C7" s="233">
        <f>C4-C6</f>
        <v>10502.462245925715</v>
      </c>
      <c r="D7" s="233">
        <f t="shared" ref="D7:G7" si="3">D4-D6</f>
        <v>10815.657802482941</v>
      </c>
      <c r="E7" s="233">
        <f t="shared" si="3"/>
        <v>11089.895699491883</v>
      </c>
      <c r="F7" s="233">
        <f t="shared" si="3"/>
        <v>11431.018245383701</v>
      </c>
      <c r="G7" s="233">
        <f t="shared" si="3"/>
        <v>11801.752044980849</v>
      </c>
    </row>
    <row r="8" spans="1:12" x14ac:dyDescent="0.3">
      <c r="A8" s="40" t="s">
        <v>229</v>
      </c>
      <c r="C8" s="234">
        <f>'P&amp;L'!G40</f>
        <v>1145.7673468177504</v>
      </c>
      <c r="D8" s="234">
        <f>'P&amp;L'!H40</f>
        <v>1194.0724583039946</v>
      </c>
      <c r="E8" s="234">
        <f>'P&amp;L'!I40</f>
        <v>1263.0268741923296</v>
      </c>
      <c r="F8" s="234">
        <f>'P&amp;L'!J40</f>
        <v>1342.0177253568827</v>
      </c>
      <c r="G8" s="234">
        <f>'P&amp;L'!K40</f>
        <v>1410.0017548051542</v>
      </c>
    </row>
    <row r="9" spans="1:12" x14ac:dyDescent="0.3">
      <c r="A9" s="40" t="s">
        <v>230</v>
      </c>
      <c r="C9" s="30">
        <f ca="1">SUM(CFS!C7:C10)+SUM(CFS!C12:C20)</f>
        <v>-91.333228898495747</v>
      </c>
      <c r="D9" s="30">
        <f ca="1">SUM(CFS!D7:D10)+SUM(CFS!D12:D20)</f>
        <v>-45.07345017819145</v>
      </c>
      <c r="E9" s="30">
        <f ca="1">SUM(CFS!E7:E10)+SUM(CFS!E12:E20)</f>
        <v>-98.680776724700735</v>
      </c>
      <c r="F9" s="30">
        <f ca="1">SUM(CFS!F7:F10)+SUM(CFS!F12:F20)</f>
        <v>140.6345893140288</v>
      </c>
      <c r="G9" s="30">
        <f ca="1">SUM(CFS!G7:G10)+SUM(CFS!G12:G20)</f>
        <v>4.2046112411014747E-2</v>
      </c>
      <c r="H9" s="30"/>
      <c r="I9" s="30"/>
      <c r="J9" s="30"/>
      <c r="K9" s="30"/>
      <c r="L9" s="30"/>
    </row>
    <row r="10" spans="1:12" x14ac:dyDescent="0.3">
      <c r="A10" s="40" t="s">
        <v>231</v>
      </c>
      <c r="C10" s="235">
        <f>-Capex!G5</f>
        <v>-336.42576858253597</v>
      </c>
      <c r="D10" s="235">
        <f>-Capex!H5</f>
        <v>-2092.2310590131601</v>
      </c>
      <c r="E10" s="235">
        <f>-Capex!I5</f>
        <v>-2986.6108604007241</v>
      </c>
      <c r="F10" s="235">
        <f>-Capex!J5</f>
        <v>-3421.317270563115</v>
      </c>
      <c r="G10" s="235">
        <f>-Capex!K5</f>
        <v>-2944.5806779484192</v>
      </c>
    </row>
    <row r="11" spans="1:12" x14ac:dyDescent="0.3">
      <c r="A11" s="39" t="s">
        <v>232</v>
      </c>
      <c r="C11" s="233">
        <f ca="1">SUM(C7:C10)</f>
        <v>11220.470595262434</v>
      </c>
      <c r="D11" s="233">
        <f t="shared" ref="D11:G11" ca="1" si="4">SUM(D7:D10)</f>
        <v>9872.4257515955833</v>
      </c>
      <c r="E11" s="233">
        <f t="shared" ca="1" si="4"/>
        <v>9267.6309365587877</v>
      </c>
      <c r="F11" s="233">
        <f t="shared" ca="1" si="4"/>
        <v>9492.3532894914988</v>
      </c>
      <c r="G11" s="233">
        <f t="shared" ca="1" si="4"/>
        <v>10267.215167949995</v>
      </c>
    </row>
    <row r="12" spans="1:12" x14ac:dyDescent="0.3">
      <c r="A12" s="224" t="s">
        <v>233</v>
      </c>
      <c r="D12" s="237">
        <f ca="1">D11/C11-1</f>
        <v>-0.12014156021548938</v>
      </c>
      <c r="E12" s="46">
        <f t="shared" ref="E12:G12" ca="1" si="5">E11/D11-1</f>
        <v>-6.1261014289122229E-2</v>
      </c>
      <c r="F12" s="46">
        <f t="shared" ca="1" si="5"/>
        <v>2.4248090420414758E-2</v>
      </c>
      <c r="G12" s="46">
        <f t="shared" ca="1" si="5"/>
        <v>8.1630113716511854E-2</v>
      </c>
    </row>
    <row r="13" spans="1:12" x14ac:dyDescent="0.3">
      <c r="A13" s="224" t="s">
        <v>234</v>
      </c>
      <c r="B13" s="236">
        <v>0.02</v>
      </c>
    </row>
    <row r="15" spans="1:12" x14ac:dyDescent="0.3">
      <c r="A15" s="225" t="s">
        <v>235</v>
      </c>
      <c r="G15" s="238">
        <f ca="1">G11*(1+B13)/(B17-B13)</f>
        <v>267332.62263681844</v>
      </c>
    </row>
    <row r="16" spans="1:12" x14ac:dyDescent="0.3">
      <c r="A16" s="3" t="s">
        <v>236</v>
      </c>
      <c r="C16" s="30">
        <f ca="1">C11+C15</f>
        <v>11220.470595262434</v>
      </c>
      <c r="D16" s="30">
        <f t="shared" ref="D16:G16" ca="1" si="6">D11+D15</f>
        <v>9872.4257515955833</v>
      </c>
      <c r="E16" s="30">
        <f t="shared" ca="1" si="6"/>
        <v>9267.6309365587877</v>
      </c>
      <c r="F16" s="30">
        <f t="shared" ca="1" si="6"/>
        <v>9492.3532894914988</v>
      </c>
      <c r="G16" s="238">
        <f t="shared" ca="1" si="6"/>
        <v>277599.83780476847</v>
      </c>
    </row>
    <row r="17" spans="1:17" x14ac:dyDescent="0.3">
      <c r="A17" s="57" t="s">
        <v>237</v>
      </c>
      <c r="B17" s="253">
        <f>'Cost of Equity'!B8*'Cost of Equity'!C21/'Cost of Equity'!E21+'Cost of Debt'!B17*'Cost of Equity'!D21/'Cost of Equity'!E21</f>
        <v>5.9174266754328617E-2</v>
      </c>
    </row>
    <row r="18" spans="1:17" x14ac:dyDescent="0.3">
      <c r="A18" s="226" t="s">
        <v>238</v>
      </c>
      <c r="C18" s="30">
        <f ca="1">C16/(1+$B$17)^C1</f>
        <v>10593.601966601571</v>
      </c>
      <c r="D18" s="30">
        <f t="shared" ref="D18:G18" ca="1" si="7">D16/(1+$B$17)^D1</f>
        <v>8800.1289217443955</v>
      </c>
      <c r="E18" s="30">
        <f t="shared" ca="1" si="7"/>
        <v>7799.4947171799122</v>
      </c>
      <c r="F18" s="30">
        <f t="shared" ca="1" si="7"/>
        <v>7542.3070792641984</v>
      </c>
      <c r="G18" s="30">
        <f t="shared" ca="1" si="7"/>
        <v>208248.60654036258</v>
      </c>
      <c r="J18" s="30"/>
      <c r="K18" s="211"/>
      <c r="L18" s="211"/>
      <c r="M18" s="211"/>
      <c r="N18" s="211"/>
      <c r="O18" s="211"/>
      <c r="P18" s="211"/>
      <c r="Q18" s="211"/>
    </row>
    <row r="19" spans="1:17" x14ac:dyDescent="0.3">
      <c r="A19" s="57" t="s">
        <v>239</v>
      </c>
      <c r="B19" s="30">
        <f ca="1">SUM(C18:G18)</f>
        <v>242984.13922515267</v>
      </c>
      <c r="J19" s="262"/>
    </row>
    <row r="20" spans="1:17" x14ac:dyDescent="0.3">
      <c r="A20" s="40" t="s">
        <v>240</v>
      </c>
      <c r="B20" s="30">
        <f>'Balance Sheet'!F21+'Balance Sheet'!F23+'Balance Sheet'!F29+'Balance Sheet'!F30</f>
        <v>54814</v>
      </c>
      <c r="J20" s="262"/>
    </row>
    <row r="21" spans="1:17" x14ac:dyDescent="0.3">
      <c r="A21" s="40" t="s">
        <v>241</v>
      </c>
      <c r="B21" s="234">
        <f>'Balance Sheet'!F5</f>
        <v>774</v>
      </c>
      <c r="J21" s="262"/>
    </row>
    <row r="22" spans="1:17" x14ac:dyDescent="0.3">
      <c r="A22" s="40" t="s">
        <v>242</v>
      </c>
      <c r="B22" s="234">
        <f>'Balance Sheet'!F11</f>
        <v>2820</v>
      </c>
      <c r="D22" s="254"/>
      <c r="E22" s="254"/>
      <c r="F22" s="254"/>
      <c r="G22" s="254"/>
      <c r="H22" s="254"/>
      <c r="I22" s="254"/>
      <c r="J22" s="262"/>
    </row>
    <row r="23" spans="1:17" x14ac:dyDescent="0.3">
      <c r="A23" s="57" t="s">
        <v>243</v>
      </c>
      <c r="B23" s="233">
        <f ca="1">B19-B20+B21+B22</f>
        <v>191764.13922515267</v>
      </c>
      <c r="J23" s="262"/>
    </row>
    <row r="24" spans="1:17" x14ac:dyDescent="0.3">
      <c r="A24" s="40" t="s">
        <v>244</v>
      </c>
      <c r="B24" s="239">
        <f>'P&amp;L'!F26</f>
        <v>716.4</v>
      </c>
      <c r="J24" s="262"/>
    </row>
    <row r="25" spans="1:17" ht="15.6" customHeight="1" x14ac:dyDescent="0.3">
      <c r="A25" s="227" t="s">
        <v>245</v>
      </c>
      <c r="B25" s="30">
        <f ca="1">B23/B24</f>
        <v>267.67746960518241</v>
      </c>
      <c r="J25" s="262"/>
    </row>
    <row r="26" spans="1:17" x14ac:dyDescent="0.3">
      <c r="B26" s="254"/>
      <c r="C26" s="254"/>
      <c r="D26" s="254"/>
      <c r="E26" s="254"/>
      <c r="F26" s="254"/>
      <c r="G26" s="254"/>
      <c r="H26" s="254"/>
    </row>
    <row r="28" spans="1:17" ht="26.4" thickBot="1" x14ac:dyDescent="0.55000000000000004">
      <c r="A28" s="255" t="s">
        <v>246</v>
      </c>
    </row>
    <row r="29" spans="1:17" ht="18" x14ac:dyDescent="0.3">
      <c r="A29" s="241">
        <f ca="1">B25</f>
        <v>267.67746960518241</v>
      </c>
      <c r="B29" s="242">
        <v>4.4174266754328624E-2</v>
      </c>
      <c r="C29" s="242">
        <v>4.9174266754328622E-2</v>
      </c>
      <c r="D29" s="242">
        <v>5.4174266754328619E-2</v>
      </c>
      <c r="E29" s="242">
        <v>5.9174266754328617E-2</v>
      </c>
      <c r="F29" s="242">
        <v>6.4174266754328621E-2</v>
      </c>
      <c r="G29" s="242">
        <v>6.9174266754328625E-2</v>
      </c>
      <c r="H29" s="242">
        <v>7.417426675432863E-2</v>
      </c>
    </row>
    <row r="30" spans="1:17" x14ac:dyDescent="0.3">
      <c r="A30" s="243">
        <v>1.4E-2</v>
      </c>
      <c r="B30" s="244">
        <f t="dataTable" ref="B30:H36" dt2D="1" dtr="1" r1="B17" r2="B13" ca="1"/>
        <v>378.19932556681221</v>
      </c>
      <c r="C30" s="244">
        <v>314.35239736593917</v>
      </c>
      <c r="D30" s="244">
        <v>266.40164386187166</v>
      </c>
      <c r="E30" s="244">
        <v>229.06863744853234</v>
      </c>
      <c r="F30" s="245">
        <v>199.17899323400803</v>
      </c>
      <c r="G30" s="245">
        <v>174.70900652337892</v>
      </c>
      <c r="H30" s="246">
        <v>154.30759108197117</v>
      </c>
    </row>
    <row r="31" spans="1:17" x14ac:dyDescent="0.3">
      <c r="A31" s="243">
        <v>1.6E-2</v>
      </c>
      <c r="B31" s="244">
        <v>406.56190926237838</v>
      </c>
      <c r="C31" s="244">
        <v>334.62503121359077</v>
      </c>
      <c r="D31" s="244">
        <v>281.53581975148609</v>
      </c>
      <c r="E31" s="244">
        <v>240.7459072952833</v>
      </c>
      <c r="F31" s="245">
        <v>208.42554750545472</v>
      </c>
      <c r="G31" s="245">
        <v>182.18544927146158</v>
      </c>
      <c r="H31" s="246">
        <v>160.45775060655416</v>
      </c>
    </row>
    <row r="32" spans="1:17" x14ac:dyDescent="0.3">
      <c r="A32" s="243">
        <v>1.7999999999999999E-2</v>
      </c>
      <c r="B32" s="244">
        <v>439.25891561234431</v>
      </c>
      <c r="C32" s="244">
        <v>357.498866110481</v>
      </c>
      <c r="D32" s="247">
        <v>298.34346988094012</v>
      </c>
      <c r="E32" s="247">
        <v>253.55760121485861</v>
      </c>
      <c r="F32" s="248">
        <v>218.47311540820755</v>
      </c>
      <c r="G32" s="245">
        <v>190.24628282549168</v>
      </c>
      <c r="H32" s="246">
        <v>167.04584442952182</v>
      </c>
    </row>
    <row r="33" spans="1:8" x14ac:dyDescent="0.3">
      <c r="A33" s="243">
        <v>0.02</v>
      </c>
      <c r="B33" s="244">
        <v>477.36613881517269</v>
      </c>
      <c r="C33" s="244">
        <v>383.5088668742988</v>
      </c>
      <c r="D33" s="247">
        <v>317.11840729708638</v>
      </c>
      <c r="E33" s="249">
        <v>267.67746960518241</v>
      </c>
      <c r="F33" s="248">
        <v>229.43049516668458</v>
      </c>
      <c r="G33" s="245">
        <v>198.96281165154699</v>
      </c>
      <c r="H33" s="246">
        <v>174.12037539083374</v>
      </c>
    </row>
    <row r="34" spans="1:8" x14ac:dyDescent="0.3">
      <c r="A34" s="243">
        <v>2.1999999999999999E-2</v>
      </c>
      <c r="B34" s="244">
        <v>522.34749654971279</v>
      </c>
      <c r="C34" s="244">
        <v>413.34748991506154</v>
      </c>
      <c r="D34" s="247">
        <v>338.22750046068211</v>
      </c>
      <c r="E34" s="247">
        <v>283.31665440689761</v>
      </c>
      <c r="F34" s="248">
        <v>241.42712284591914</v>
      </c>
      <c r="G34" s="245">
        <v>208.41843231099085</v>
      </c>
      <c r="H34" s="246">
        <v>181.7372833821573</v>
      </c>
    </row>
    <row r="35" spans="1:8" x14ac:dyDescent="0.3">
      <c r="A35" s="243">
        <v>2.4E-2</v>
      </c>
      <c r="B35" s="244">
        <v>576.24741539624722</v>
      </c>
      <c r="C35" s="244">
        <v>447.92724378310169</v>
      </c>
      <c r="D35" s="244">
        <v>362.13488441098815</v>
      </c>
      <c r="E35" s="244">
        <v>300.73431947214692</v>
      </c>
      <c r="F35" s="245">
        <v>254.6182094311589</v>
      </c>
      <c r="G35" s="245">
        <v>218.71131022672773</v>
      </c>
      <c r="H35" s="246">
        <v>189.96142759109162</v>
      </c>
    </row>
    <row r="36" spans="1:8" ht="15" thickBot="1" x14ac:dyDescent="0.35">
      <c r="A36" s="243">
        <v>2.5999999999999999E-2</v>
      </c>
      <c r="B36" s="250">
        <v>642.01024339342393</v>
      </c>
      <c r="C36" s="250">
        <v>488.47564455326329</v>
      </c>
      <c r="D36" s="250">
        <v>389.43648396360544</v>
      </c>
      <c r="E36" s="250">
        <v>320.25212621579254</v>
      </c>
      <c r="F36" s="251">
        <v>269.19149273757</v>
      </c>
      <c r="G36" s="251">
        <v>229.95780043881746</v>
      </c>
      <c r="H36" s="252">
        <v>198.86843796597091</v>
      </c>
    </row>
  </sheetData>
  <mergeCells count="2">
    <mergeCell ref="A2:A3"/>
    <mergeCell ref="C2: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Revenue</vt:lpstr>
      <vt:lpstr>P&amp;L</vt:lpstr>
      <vt:lpstr>Balance Sheet</vt:lpstr>
      <vt:lpstr>CFS</vt:lpstr>
      <vt:lpstr>Capex</vt:lpstr>
      <vt:lpstr>Debt</vt:lpstr>
      <vt:lpstr>Cost of Debt</vt:lpstr>
      <vt:lpstr>Cost of Equity</vt:lpstr>
      <vt:lpstr>Beta &amp; Scatter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Zazadze</dc:creator>
  <cp:lastModifiedBy>Durmishkhan Gigineishvili</cp:lastModifiedBy>
  <dcterms:created xsi:type="dcterms:W3CDTF">2015-06-05T18:17:20Z</dcterms:created>
  <dcterms:modified xsi:type="dcterms:W3CDTF">2026-07-04T19:13:19Z</dcterms:modified>
</cp:coreProperties>
</file>